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tc={065a672c-1ec4-4639-a7d1-ccca48319e9d}</author>
    <author>tc={112bc054-d116-43aa-bd31-9a6cd99db2ad}</author>
    <author>tc={35e95241-0196-4b9f-9eb1-76bda4b69d13}</author>
    <author>tc={467a4afa-37f6-49a8-b299-4c60efa3b928}</author>
    <author>tc={4841d624-6076-4d2f-8a25-eb224b57ba68}</author>
    <author>tc={4a669a60-d7e0-4cc3-bf84-d0f02a675dab}</author>
    <author>tc={4c2d2fe2-938c-4348-bc4b-1604be3086d1}</author>
    <author>tc={509bf936-4c27-4e75-8b0f-bc687bd82743}</author>
    <author>tc={50b2f795-2f22-4f99-8ec5-3dc77bc3c74c}</author>
    <author>tc={5dce070b-2879-45d4-8fda-229be5ea09b3}</author>
    <author>tc={6fdef6e9-317e-4ad3-a826-8eeb5c223de8}</author>
    <author>tc={70441572-b770-473a-9a46-7a3e1ed102d4}</author>
    <author>tc={73a835b5-4377-4d6d-a2e3-adeed1279657}</author>
    <author>tc={9c569f72-07c4-4215-afa9-c88ce4cf50a9}</author>
    <author>tc={9ccc6de9-1ff2-44d6-9164-022e790834af}</author>
    <author>tc={9d0e2774-14f0-4210-8a3f-9979c5348f8d}</author>
    <author>tc={a44cbb12-7d65-447d-a91f-7608d86da398}</author>
    <author>tc={abbaff92-d6ec-4ef7-a06f-1ca3f1fa76c8}</author>
    <author>tc={b10f11e5-431c-4d4c-8fdc-efcb36e3142a}</author>
    <author>tc={bc5b791a-f3e5-49b7-bcb4-e81f7b93267a}</author>
    <author>tc={ced553b5-deed-4e90-a50f-8194322fe6ee}</author>
    <author>tc={f6b81d63-ffa8-46a6-a0c9-2f0dfec0f125}</author>
    <author>tc={f7b050de-31a9-45df-87c9-c37bdfb699ae}</author>
    <author>tc={fc9f4e2c-d09c-489c-ab46-20254803ae70}</author>
  </authors>
  <commentList>
    <comment authorId="0" xr:uid="{065a672c-1ec4-4639-a7d1-ccca48319e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total of:
1. Avionics mass ~100mg
2. Boost converter mass
3. Estimated battery mass
</t>
      </text>
    </comment>
    <comment authorId="1" xr:uid="{112bc054-d116-43aa-bd31-9a6cd99db2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Approximate, since max lift/weight ratio is 2 in the paper.
</t>
      </text>
    </comment>
    <comment authorId="2" xr:uid="{35e95241-0196-4b9f-9eb1-76bda4b69d1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estimated, ask for exact number
</t>
      </text>
    </comment>
    <comment authorId="3" xr:uid="{467a4afa-37f6-49a8-b299-4c60efa3b9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@kevinh33@uw.edu ask Sawyer for best link to crazyflie lift data
Assigned to kevinh33@uw.edu
</t>
      </text>
    </comment>
    <comment authorId="4" xr:uid="{4841d624-6076-4d2f-8a25-eb224b57ba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we could put the paper in the folder that would be good! i can't access this one
Reply:
	it should be in the folder already, "mechanisms of collision...."
</t>
      </text>
    </comment>
    <comment authorId="5" xr:uid="{4a669a60-d7e0-4cc3-bf84-d0f02a675d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Cite: https://ieeexplore.ieee.org/document/8258869
</t>
      </text>
    </comment>
    <comment authorId="6" xr:uid="{4c2d2fe2-938c-4348-bc4b-1604be3086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Won't include these for the payload v. mass with consideration of battery mass since no related info of battery mass in papers
</t>
      </text>
    </comment>
    <comment authorId="7" xr:uid="{509bf936-4c27-4e75-8b0f-bc687bd827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"this robot to achieve power autonomy. The DEA consumes 2.9 W of reactive power (1∕2CV2f ) during hovering flight, where C is the total DEA capacitance, V is the applied voltage, and f is the flapping-wing frequency."
=0.004/0.0094
</t>
      </text>
    </comment>
    <comment authorId="8" xr:uid="{50b2f795-2f22-4f99-8ec5-3dc77bc3c7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lift or related data provided besides the height achieved + yaw, pitch, and roll in Fig 4 on page 4
Reply:
	is another version of this paper that's similar, maybe doesn't have the folded wing, already listed somewhere esle on our doc? If so we can just delete this version
</t>
      </text>
    </comment>
    <comment authorId="9" xr:uid="{5dce070b-2879-45d4-8fda-229be5ea09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@kylej23@uw.edu make a note in the intro about why this one doesn't work (lack of stability) and also remove electromagnetic one
Assigned to kylej23@uw.edu
Reply:
	also remove the coloumbfly
</t>
      </text>
    </comment>
    <comment authorId="10" xr:uid="{6fdef6e9-317e-4ad3-a826-8eeb5c223de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Won't include these for the payload v. mass with consideration of battery mass since no related info of battery mass in papers
</t>
      </text>
    </comment>
    <comment authorId="11" xr:uid="{70441572-b770-473a-9a46-7a3e1ed102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During flight
</t>
      </text>
    </comment>
    <comment authorId="12" xr:uid="{73a835b5-4377-4d6d-a2e3-adeed12796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Power consumed for hover flight
</t>
      </text>
    </comment>
    <comment authorId="13" xr:uid="{9c569f72-07c4-4215-afa9-c88ce4cf50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"atlas" to the polot @kylej23@uw.edu
Assigned to kylej23@uw.edu
</t>
      </text>
    </comment>
    <comment authorId="14" xr:uid="{9ccc6de9-1ff2-44d6-9164-022e790834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@kevinh33@uw.edu ask Sawyer
Assigned to kevinh33@uw.edu
</t>
      </text>
    </comment>
    <comment authorId="15" xr:uid="{9d0e2774-14f0-4210-8a3f-9979c5348f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Queen Alexandra's Birdwing or Atlas Moth?
</t>
      </text>
    </comment>
    <comment authorId="16" xr:uid="{a44cbb12-7d65-447d-a91f-7608d86da3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video linked in the supplementary on the paper's page showed it tethered, so I changed this @kevinh33@uw.edu
</t>
      </text>
    </comment>
    <comment authorId="17" xr:uid="{abbaff92-d6ec-4ef7-a06f-1ca3f1fa76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boost converter efficiency 25%-50%
</t>
      </text>
    </comment>
    <comment authorId="18" xr:uid="{b10f11e5-431c-4d4c-8fdc-efcb36e314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Wild guess (no data provided other than "self-lifting")
</t>
      </text>
    </comment>
    <comment authorId="19" xr:uid="{bc5b791a-f3e5-49b7-bcb4-e81f7b93267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wild estimate
</t>
      </text>
    </comment>
    <comment authorId="20" xr:uid="{ced553b5-deed-4e90-a50f-8194322fe6e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@kylej23@uw.edu replace with manduca sexta moth
Assigned to kylej23@uw.edu
</t>
      </text>
    </comment>
    <comment authorId="21" xr:uid="{f6b81d63-ffa8-46a6-a0c9-2f0dfec0f1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https://www.researchgate.net/figure/total-mass-of-the-dragonfly-was-75375-mg-The-wing-strips-were-cut-as-shown-in-another_tbl1_226952774
</t>
      </text>
    </comment>
    <comment authorId="22" xr:uid="{f7b050de-31a9-45df-87c9-c37bdfb699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estimated
</t>
      </text>
    </comment>
    <comment authorId="23" xr:uid="{fc9f4e2c-d09c-489c-ab46-20254803ae7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this be considered unconstrained?
</t>
      </text>
    </comment>
  </commentList>
</comments>
</file>

<file path=xl/sharedStrings.xml><?xml version="1.0" encoding="utf-8"?>
<sst xmlns="http://schemas.openxmlformats.org/spreadsheetml/2006/main" count="64" uniqueCount="43">
  <si>
    <t>Name</t>
  </si>
  <si>
    <t>Type</t>
  </si>
  <si>
    <t>Mass (grams)</t>
  </si>
  <si>
    <t>Max Lift (grams)</t>
  </si>
  <si>
    <t>Payload (grams)</t>
  </si>
  <si>
    <t>Characteristic Length (cm)</t>
  </si>
  <si>
    <t>Power Consumption (W)</t>
  </si>
  <si>
    <t>Additional Power Electronics (grams)</t>
  </si>
  <si>
    <t>Required Battery Mass (grams)</t>
  </si>
  <si>
    <t>Battery Power Density (W/gram)</t>
  </si>
  <si>
    <t>Boost Converter Efficiency</t>
  </si>
  <si>
    <t>Notes</t>
  </si>
  <si>
    <t>Multi-gram (1.64 grams)</t>
  </si>
  <si>
    <t>Coin-copter</t>
  </si>
  <si>
    <t>Power consumed for 158mg battery payload (min for flight)</t>
  </si>
  <si>
    <t>Gram-scale (1.00 grams)</t>
  </si>
  <si>
    <t>Power consumed for 129mg battery payload (min for flight)</t>
  </si>
  <si>
    <t>Sub-gram (0.688 grams)</t>
  </si>
  <si>
    <t>Power consumed for 312mg payload (no flight)</t>
  </si>
  <si>
    <t>Large RoboFly</t>
  </si>
  <si>
    <t>Flapping-wing</t>
  </si>
  <si>
    <t>RoboFly</t>
  </si>
  <si>
    <r>
      <rPr>
        <color rgb="FF1155CC"/>
        <u/>
      </rPr>
      <t>MIT</t>
    </r>
    <r>
      <rPr/>
      <t xml:space="preserve"> </t>
    </r>
    <r>
      <rPr>
        <color rgb="FF1155CC"/>
        <u/>
      </rPr>
      <t>SoftFly</t>
    </r>
  </si>
  <si>
    <t>Bee++</t>
  </si>
  <si>
    <t>Power consumed in flight</t>
  </si>
  <si>
    <t>Robobee</t>
  </si>
  <si>
    <t>Large Robobee</t>
  </si>
  <si>
    <t>Four-wing</t>
  </si>
  <si>
    <t>Solar Robobee</t>
  </si>
  <si>
    <t>Electromagnetic Flapping-Wing</t>
  </si>
  <si>
    <t>Mass 0.08 grams</t>
  </si>
  <si>
    <t>Tailless Flapping-wing</t>
  </si>
  <si>
    <t>Mass 2.14 grams</t>
  </si>
  <si>
    <t>Bumblebee (Bombus affinis)</t>
  </si>
  <si>
    <t>Live Insect</t>
  </si>
  <si>
    <r>
      <rPr>
        <color rgb="FF1155CC"/>
        <u/>
      </rPr>
      <t>Dragonfly</t>
    </r>
    <r>
      <rPr/>
      <t xml:space="preserve"> </t>
    </r>
    <r>
      <rPr>
        <color rgb="FF1155CC"/>
        <u/>
      </rPr>
      <t>(small)</t>
    </r>
  </si>
  <si>
    <t>Hoverflies (syriphidae family)</t>
  </si>
  <si>
    <t>Cicada septendecim</t>
  </si>
  <si>
    <r>
      <rPr>
        <color rgb="FF1155CC"/>
        <u/>
      </rPr>
      <t>Butterfly</t>
    </r>
    <r>
      <rPr/>
      <t xml:space="preserve"> (</t>
    </r>
    <r>
      <rPr>
        <color rgb="FF1155CC"/>
        <u/>
      </rPr>
      <t>monarch</t>
    </r>
    <r>
      <rPr/>
      <t>)</t>
    </r>
  </si>
  <si>
    <t>Hawkmoth (Manduca sexta)</t>
  </si>
  <si>
    <t>Beetle (Anoplophora chinensis)</t>
  </si>
  <si>
    <t>Coleoptera: Protaetia cuprea</t>
  </si>
  <si>
    <r>
      <rPr>
        <color rgb="FF1155CC"/>
        <u/>
      </rPr>
      <t>Cockroach</t>
    </r>
    <r>
      <rPr/>
      <t xml:space="preserve"> </t>
    </r>
    <r>
      <rPr>
        <color rgb="FF1155CC"/>
        <u/>
      </rPr>
      <t>(Periplaneta americana)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</si>
</sst>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8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sz val="11.0"/>
      <color theme="1"/>
      <name val="Serif"/>
    </font>
    <font>
      <sz val="6.0"/>
      <color rgb="FF000000"/>
      <name val="Helvetica"/>
    </font>
    <font>
      <u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2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2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164" xfId="0" applyAlignment="1" applyFill="1" applyFont="1" applyNumberFormat="1">
      <alignment horizontal="center"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/>
    </xf>
    <xf borderId="0" fillId="2" fontId="3" numFmtId="165" xfId="0" applyAlignment="1" applyFont="1" applyNumberFormat="1">
      <alignment horizontal="center" readingOrder="0" shrinkToFit="0" wrapText="1"/>
    </xf>
    <xf borderId="0" fillId="2" fontId="3" numFmtId="164" xfId="0" applyAlignment="1" applyFont="1" applyNumberFormat="1">
      <alignment horizontal="center" readingOrder="0" shrinkToFit="0" vertical="center" wrapText="1"/>
    </xf>
    <xf borderId="0" fillId="2" fontId="2" numFmtId="2" xfId="0" applyAlignment="1" applyFont="1" applyNumberFormat="1">
      <alignment horizontal="center" readingOrder="0" shrinkToFit="0" vertical="center" wrapText="1"/>
    </xf>
    <xf borderId="0" fillId="2" fontId="3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vertical="center" wrapText="1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e87eef66-1e2a-4cdd-bbbc-b4e620f32c11}">
    <Anchor>
      <Comment id="{9ccc6de9-1ff2-44d6-9164-022e790834af}"/>
    </Anchor>
    <History>
      <Event time="2025-03-21T19:49:20.00" id="{58af742a-d4d3-4cc8-a121-9554e4d31b84}">
        <Attribution userId="placeholder@email.com" userName="Kyle Johnson" userProvider="google-sheets"/>
        <Anchor>
          <Comment id="{9ccc6de9-1ff2-44d6-9164-022e790834af}"/>
        </Anchor>
        <Create/>
      </Event>
      <Event time="2025-03-21T19:49:20.00" id="{c934ae7e-668a-4297-ac09-be0cdc74d8ab}">
        <Attribution userId="placeholder@email.com" userName="Kyle Johnson" userProvider="google-sheets"/>
        <Anchor>
          <Comment id="{9ccc6de9-1ff2-44d6-9164-022e790834af}"/>
        </Anchor>
        <Assign userId="kevinh33@uw.edu" userName="kevinh33@uw.edu" userProvider="google-sheets"/>
      </Event>
    </History>
  </Task>
  <Task id="{be8ef3f2-d6c7-4c37-8b43-00b04dacbdd8}">
    <Anchor>
      <Comment id="{5dce070b-2879-45d4-8fda-229be5ea09b3}"/>
    </Anchor>
    <History>
      <Event time="2025-06-11T00:41:09.00" id="{f2e481dd-45e4-4580-ba6c-3bd7c5b27353}">
        <Attribution userId="placeholder@email.com" userName="Kyle Johnson" userProvider="google-sheets"/>
        <Anchor>
          <Comment id="{5dce070b-2879-45d4-8fda-229be5ea09b3}"/>
        </Anchor>
        <Create/>
      </Event>
      <Event time="2025-06-11T00:41:09.00" id="{0927aacf-411a-4f96-b07e-0fb65febde91}">
        <Attribution userId="placeholder@email.com" userName="Kyle Johnson" userProvider="google-sheets"/>
        <Anchor>
          <Comment id="{5dce070b-2879-45d4-8fda-229be5ea09b3}"/>
        </Anchor>
        <Assign userId="kylej23@uw.edu" userName="kylej23@uw.edu" userProvider="google-sheets"/>
      </Event>
    </History>
  </Task>
  <Task id="{eda2696b-45fb-4db0-86e8-471973e5710a}">
    <Anchor>
      <Comment id="{467a4afa-37f6-49a8-b299-4c60efa3b928}"/>
    </Anchor>
    <History>
      <Event time="2025-03-21T19:49:08.00" id="{206a2fb4-7720-4818-a097-96c9f136101e}">
        <Attribution userId="placeholder@email.com" userName="Kyle Johnson" userProvider="google-sheets"/>
        <Anchor>
          <Comment id="{467a4afa-37f6-49a8-b299-4c60efa3b928}"/>
        </Anchor>
        <Create/>
      </Event>
      <Event time="2025-03-21T19:49:08.00" id="{f856affd-32b3-4e2d-9ec8-1b42c11da7de}">
        <Attribution userId="placeholder@email.com" userName="Kyle Johnson" userProvider="google-sheets"/>
        <Anchor>
          <Comment id="{467a4afa-37f6-49a8-b299-4c60efa3b928}"/>
        </Anchor>
        <Assign userId="kevinh33@uw.edu" userName="kevinh33@uw.edu" userProvider="google-sheets"/>
      </Event>
    </History>
  </Task>
  <Task id="{2c3a010e-363e-40c8-a79f-4f2a8ace2529}">
    <Anchor>
      <Comment id="{ced553b5-deed-4e90-a50f-8194322fe6ee}"/>
    </Anchor>
    <History>
      <Event time="2025-06-11T00:43:16.00" id="{7d92e638-d677-40d3-9051-0c7ec8425d07}">
        <Attribution userId="placeholder@email.com" userName="Kyle Johnson" userProvider="google-sheets"/>
        <Anchor>
          <Comment id="{ced553b5-deed-4e90-a50f-8194322fe6ee}"/>
        </Anchor>
        <Create/>
      </Event>
      <Event time="2025-06-11T00:43:16.00" id="{452f7076-8476-4bd1-b826-127a469384cb}">
        <Attribution userId="placeholder@email.com" userName="Kyle Johnson" userProvider="google-sheets"/>
        <Anchor>
          <Comment id="{ced553b5-deed-4e90-a50f-8194322fe6ee}"/>
        </Anchor>
        <Assign userId="kylej23@uw.edu" userName="kylej23@uw.edu" userProvider="google-sheets"/>
      </Event>
    </History>
  </Task>
  <Task id="{61a11980-d9c7-4044-9322-cd425119d676}">
    <Anchor>
      <Comment id="{9c569f72-07c4-4215-afa9-c88ce4cf50a9}"/>
    </Anchor>
    <History>
      <Event time="2025-06-11T00:44:29.00" id="{6cf8244b-938c-4c17-a48a-1eb462e9cea1}">
        <Attribution userId="placeholder@email.com" userName="Kyle Johnson" userProvider="google-sheets"/>
        <Anchor>
          <Comment id="{9c569f72-07c4-4215-afa9-c88ce4cf50a9}"/>
        </Anchor>
        <Create/>
      </Event>
      <Event time="2025-06-11T00:44:29.00" id="{9d75cb16-6858-4e0a-a6c5-0e011102e442}">
        <Attribution userId="placeholder@email.com" userName="Kyle Johnson" userProvider="google-sheets"/>
        <Anchor>
          <Comment id="{9c569f72-07c4-4215-afa9-c88ce4cf50a9}"/>
        </Anchor>
        <Assign userId="kylej23@uw.edu" userName="kylej23@uw.edu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yle Johnson" id="{477f63ef-0b91-4414-a5b0-1ae6568780ba}" providerId="google-sheets"/>
  <x18tc:person displayName="kevinh33@uw.edu" id="{638f01ce-e004-44bd-8035-c631b5312d10}" userId="kevinh33@uw.edu" providerId="google-sheets"/>
  <x18tc:person displayName="kylej23@uw.edu" id="{88750074-6244-4611-8ad5-77a6763cb512}" userId="kylej23@uw.edu" providerId="google-sheets"/>
  <x18tc:person displayName="Kevin Hernandez-Ramos" id="{fb330c09-8f6f-46a5-a2b1-b0703ab19843}" providerId="google-sheets"/>
</x18tc:personList>
</file>

<file path=xl/tables/table1.xml><?xml version="1.0" encoding="utf-8"?>
<table xmlns="http://schemas.openxmlformats.org/spreadsheetml/2006/main" headerRowCount="0" ref="A6:L6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3-26T04:34:21.00" personId="{fb330c09-8f6f-46a5-a2b1-b0703ab19843}" id="{bc5b791a-f3e5-49b7-bcb4-e81f7b93267a}" done="1">
    <x18tc:text xml:space="preserve">wild estimate</x18tc:text>
  </x18tc:threadedComment>
  <x18tc:threadedComment ref="A1" dT="2025-03-21T19:49:20.00" personId="{477f63ef-0b91-4414-a5b0-1ae6568780ba}" id="{9ccc6de9-1ff2-44d6-9164-022e790834af}" done="1">
    <x18tc:text xml:space="preserve">@kevinh33@uw.edu ask Sawyer
Assigned to kevinh33@uw.edu</x18tc:text>
    <x18tc:mentions>
      <x18tc:mention mentionpersonId="{638f01ce-e004-44bd-8035-c631b5312d10}" mentionId="{3e9a79d0-8122-4268-9c68-83a2bcee6090}" startIndex="0" length="16"/>
    </x18tc:mentions>
  </x18tc:threadedComment>
  <x18tc:threadedComment ref="A1" dT="2025-06-11T00:41:09.00" personId="{477f63ef-0b91-4414-a5b0-1ae6568780ba}" id="{5dce070b-2879-45d4-8fda-229be5ea09b3}" done="1">
    <x18tc:text xml:space="preserve">@kylej23@uw.edu make a note in the intro about why this one doesn't work (lack of stability) and also remove electromagnetic one
Assigned to kylej23@uw.edu</x18tc:text>
    <x18tc:mentions>
      <x18tc:mention mentionpersonId="{88750074-6244-4611-8ad5-77a6763cb512}" mentionId="{2006fd72-410e-4a24-a40e-bae80af0da0a}" startIndex="0" length="15"/>
    </x18tc:mentions>
  </x18tc:threadedComment>
  <x18tc:threadedComment ref="A1" dT="2025-06-11T00:47:25.00" personId="{477f63ef-0b91-4414-a5b0-1ae6568780ba}" id="{c7fb3381-5e47-49b6-9ad8-80b6d995c81b}" parentId="{5dce070b-2879-45d4-8fda-229be5ea09b3}">
    <x18tc:text xml:space="preserve">also remove the coloumbfly</x18tc:text>
  </x18tc:threadedComment>
  <x18tc:threadedComment ref="A1" dT="2025-04-10T04:54:47.00" personId="{477f63ef-0b91-4414-a5b0-1ae6568780ba}" id="{70441572-b770-473a-9a46-7a3e1ed102d4}" done="1">
    <x18tc:text xml:space="preserve">During flight</x18tc:text>
  </x18tc:threadedComment>
  <x18tc:threadedComment ref="A1" dT="2025-03-26T20:19:14.00" personId="{fb330c09-8f6f-46a5-a2b1-b0703ab19843}" id="{112bc054-d116-43aa-bd31-9a6cd99db2ad}" done="0">
    <x18tc:text xml:space="preserve">Approximate, since max lift/weight ratio is 2 in the paper.</x18tc:text>
  </x18tc:threadedComment>
  <x18tc:threadedComment ref="A1" dT="2025-04-10T17:37:35.00" personId="{477f63ef-0b91-4414-a5b0-1ae6568780ba}" id="{fc9f4e2c-d09c-489c-ab46-20254803ae70}" done="1">
    <x18tc:text xml:space="preserve">Should this be considered unconstrained?</x18tc:text>
  </x18tc:threadedComment>
  <x18tc:threadedComment ref="A1" dT="2025-03-21T19:49:08.00" personId="{477f63ef-0b91-4414-a5b0-1ae6568780ba}" id="{467a4afa-37f6-49a8-b299-4c60efa3b928}" done="1">
    <x18tc:text xml:space="preserve">@kevinh33@uw.edu ask Sawyer for best link to crazyflie lift data
Assigned to kevinh33@uw.edu</x18tc:text>
    <x18tc:mentions>
      <x18tc:mention mentionpersonId="{638f01ce-e004-44bd-8035-c631b5312d10}" mentionId="{302df81f-4c8b-48ac-9021-3df3f942f260}" startIndex="0" length="16"/>
    </x18tc:mentions>
  </x18tc:threadedComment>
  <x18tc:threadedComment ref="A1" dT="2025-06-11T00:43:16.00" personId="{477f63ef-0b91-4414-a5b0-1ae6568780ba}" id="{ced553b5-deed-4e90-a50f-8194322fe6ee}" done="1">
    <x18tc:text xml:space="preserve">@kylej23@uw.edu replace with manduca sexta moth
Assigned to kylej23@uw.edu</x18tc:text>
    <x18tc:mentions>
      <x18tc:mention mentionpersonId="{88750074-6244-4611-8ad5-77a6763cb512}" mentionId="{7d90587c-38d3-436e-a1c3-7bac15886cc9}" startIndex="0" length="15"/>
    </x18tc:mentions>
  </x18tc:threadedComment>
  <x18tc:threadedComment ref="A1" dT="2025-06-11T00:44:29.00" personId="{477f63ef-0b91-4414-a5b0-1ae6568780ba}" id="{9c569f72-07c4-4215-afa9-c88ce4cf50a9}" done="1">
    <x18tc:text xml:space="preserve">add "atlas" to the polot @kylej23@uw.edu
Assigned to kylej23@uw.edu</x18tc:text>
    <x18tc:mentions>
      <x18tc:mention mentionpersonId="{88750074-6244-4611-8ad5-77a6763cb512}" mentionId="{12fb770c-1551-4f22-9f0e-2228ef61ec7b}" startIndex="25" length="15"/>
    </x18tc:mentions>
  </x18tc:threadedComment>
  <x18tc:threadedComment ref="A1" dT="2025-03-26T20:30:27.00" personId="{477f63ef-0b91-4414-a5b0-1ae6568780ba}" id="{a44cbb12-7d65-447d-a91f-7608d86da398}" done="1">
    <x18tc:text xml:space="preserve">The video linked in the supplementary on the paper's page showed it tethered, so I changed this @kevinh33@uw.edu</x18tc:text>
    <x18tc:mentions>
      <x18tc:mention mentionpersonId="{638f01ce-e004-44bd-8035-c631b5312d10}" mentionId="{8dab38c5-20ee-4197-9489-96552d261ceb}" startIndex="96" length="16"/>
    </x18tc:mentions>
  </x18tc:threadedComment>
  <x18tc:threadedComment ref="A1" dT="2025-04-23T02:30:55.00" personId="{477f63ef-0b91-4414-a5b0-1ae6568780ba}" id="{4a669a60-d7e0-4cc3-bf84-d0f02a675dab}" done="0">
    <x18tc:text xml:space="preserve">Cite: https://ieeexplore.ieee.org/document/8258869</x18tc:text>
    <x18tc:extLst>
      <ext uri="{F7C98A9C-CBB3-438F-8F68-D28B6AF4A901}">
        <xltc2:checksum/>
        <xltc2:hyperlink startIndex="6" length="44" url="https://ieeexplore.ieee.org/document/8258869"/>
      </ext>
    </x18tc:extLst>
  </x18tc:threadedComment>
  <x18tc:threadedComment ref="A1" dT="2025-03-17T01:52:35.00" personId="{477f63ef-0b91-4414-a5b0-1ae6568780ba}" id="{f6b81d63-ffa8-46a6-a0c9-2f0dfec0f125}" done="1">
    <x18tc:text xml:space="preserve">https://www.researchgate.net/figure/total-mass-of-the-dragonfly-was-75375-mg-The-wing-strips-were-cut-as-shown-in-another_tbl1_226952774</x18tc:text>
    <x18tc:extLst>
      <ext uri="{F7C98A9C-CBB3-438F-8F68-D28B6AF4A901}">
        <xltc2:checksum/>
        <xltc2:hyperlink startIndex="0" length="136" url="https://www.researchgate.net/figure/total-mass-of-the-dragonfly-was-75375-mg-The-wing-strips-were-cut-as-shown-in-another_tbl1_226952774"/>
      </ext>
    </x18tc:extLst>
  </x18tc:threadedComment>
  <x18tc:threadedComment ref="A1" dT="2025-03-16T21:04:51.00" personId="{477f63ef-0b91-4414-a5b0-1ae6568780ba}" id="{f7b050de-31a9-45df-87c9-c37bdfb699ae}" done="1">
    <x18tc:text xml:space="preserve">estimated</x18tc:text>
  </x18tc:threadedComment>
  <x18tc:threadedComment ref="A1" dT="2025-04-10T17:39:51.00" personId="{477f63ef-0b91-4414-a5b0-1ae6568780ba}" id="{73a835b5-4377-4d6d-a2e3-adeed1279657}" done="0">
    <x18tc:text xml:space="preserve">Power consumed for hover flight</x18tc:text>
  </x18tc:threadedComment>
  <x18tc:threadedComment ref="A1" dT="2025-04-10T16:45:54.00" personId="{477f63ef-0b91-4414-a5b0-1ae6568780ba}" id="{065a672c-1ec4-4639-a7d1-ccca48319e9d}" done="0">
    <x18tc:text xml:space="preserve">A total of:
1. Avionics mass ~100mg
2. Boost converter mass
3. Estimated battery mass</x18tc:text>
  </x18tc:threadedComment>
  <x18tc:threadedComment ref="A1" dT="2025-03-16T21:31:24.00" personId="{477f63ef-0b91-4414-a5b0-1ae6568780ba}" id="{9d0e2774-14f0-4210-8a3f-9979c5348f8d}" done="1">
    <x18tc:text xml:space="preserve">Queen Alexandra's Birdwing or Atlas Moth?</x18tc:text>
  </x18tc:threadedComment>
  <x18tc:threadedComment ref="A1" dT="2025-03-26T22:59:49.00" personId="{fb330c09-8f6f-46a5-a2b1-b0703ab19843}" id="{50b2f795-2f22-4f99-8ec5-3dc77bc3c74c}" done="0">
    <x18tc:text xml:space="preserve">no lift or related data provided besides the height achieved + yaw, pitch, and roll in Fig 4 on page 4</x18tc:text>
  </x18tc:threadedComment>
  <x18tc:threadedComment ref="A1" dT="2025-03-27T01:45:01.00" personId="{477f63ef-0b91-4414-a5b0-1ae6568780ba}" id="{89e52405-2630-4259-a156-5a24dee11d78}" parentId="{50b2f795-2f22-4f99-8ec5-3dc77bc3c74c}">
    <x18tc:text xml:space="preserve">is another version of this paper that's similar, maybe doesn't have the folded wing, already listed somewhere esle on our doc? If so we can just delete this version</x18tc:text>
  </x18tc:threadedComment>
  <x18tc:threadedComment ref="A1" dT="2025-03-26T20:07:32.00" personId="{fb330c09-8f6f-46a5-a2b1-b0703ab19843}" id="{4841d624-6076-4d2f-8a25-eb224b57ba68}" done="1">
    <x18tc:text xml:space="preserve">if we could put the paper in the folder that would be good! i can't access this one</x18tc:text>
  </x18tc:threadedComment>
  <x18tc:threadedComment ref="A1" dT="2025-03-26T20:15:02.00" personId="{477f63ef-0b91-4414-a5b0-1ae6568780ba}" id="{0768aa6a-6d9f-4556-9c85-42f47cc140e9}" parentId="{4841d624-6076-4d2f-8a25-eb224b57ba68}">
    <x18tc:text xml:space="preserve">it should be in the folder already, "mechanisms of collision...."</x18tc:text>
  </x18tc:threadedComment>
  <x18tc:threadedComment ref="A1" dT="2025-03-26T05:03:59.00" personId="{fb330c09-8f6f-46a5-a2b1-b0703ab19843}" id="{b10f11e5-431c-4d4c-8fdc-efcb36e3142a}" done="1">
    <x18tc:text xml:space="preserve">Wild guess (no data provided other than "self-lifting")</x18tc:text>
  </x18tc:threadedComment>
  <x18tc:threadedComment ref="A1" dT="2025-03-16T21:59:43.00" personId="{477f63ef-0b91-4414-a5b0-1ae6568780ba}" id="{35e95241-0196-4b9f-9eb1-76bda4b69d13}" done="1">
    <x18tc:text xml:space="preserve">estimated, ask for exact number</x18tc:text>
  </x18tc:threadedComment>
  <x18tc:threadedComment ref="A1" dT="2025-04-08T21:15:18.00" personId="{fb330c09-8f6f-46a5-a2b1-b0703ab19843}" id="{6fdef6e9-317e-4ad3-a826-8eeb5c223de8}" done="0">
    <x18tc:text xml:space="preserve">Won't include these for the payload v. mass with consideration of battery mass since no related info of battery mass in papers</x18tc:text>
  </x18tc:threadedComment>
  <x18tc:threadedComment ref="A1" dT="2025-04-08T19:06:58.00" personId="{477f63ef-0b91-4414-a5b0-1ae6568780ba}" id="{abbaff92-d6ec-4ef7-a06f-1ca3f1fa76c8}" done="1">
    <x18tc:text xml:space="preserve">boost converter efficiency 25%-50%</x18tc:text>
  </x18tc:threadedComment>
  <x18tc:threadedComment ref="A1" dT="2025-05-11T04:04:47.00" personId="{477f63ef-0b91-4414-a5b0-1ae6568780ba}" id="{509bf936-4c27-4e75-8b0f-bc687bd82743}" done="1">
    <x18tc:text xml:space="preserve">"this robot to achieve power autonomy. The DEA consumes 2.9 W of reactive power (1∕2CV2f ) during hovering flight, where C is the total DEA capacitance, V is the applied voltage, and f is the flapping-wing frequency."
=0.004/0.0094</x18tc:text>
  </x18tc:threadedComment>
  <x18tc:threadedComment ref="A1" dT="2025-04-08T21:15:33.00" personId="{fb330c09-8f6f-46a5-a2b1-b0703ab19843}" id="{4c2d2fe2-938c-4348-bc4b-1604be3086d1}" done="0">
    <x18tc:text xml:space="preserve">Won't include these for the payload v. mass with consideration of battery mass since no related info of battery mass in papers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eilstein-journals.org/bjnano/articles/13/75" TargetMode="External"/><Relationship Id="rId22" Type="http://schemas.openxmlformats.org/officeDocument/2006/relationships/hyperlink" Target="https://animaldiversity.org/accounts/Periplaneta_americana/" TargetMode="External"/><Relationship Id="rId21" Type="http://schemas.openxmlformats.org/officeDocument/2006/relationships/hyperlink" Target="https://royalsocietypublishing.org/doi/10.1098/rsos.171152" TargetMode="External"/><Relationship Id="rId24" Type="http://schemas.openxmlformats.org/officeDocument/2006/relationships/vmlDrawing" Target="../drawings/vmlDrawing1.vml"/><Relationship Id="rId23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CZT-XD9y-XtgIDcBKwO0QBuAn1e2WYKA" TargetMode="External"/><Relationship Id="rId9" Type="http://schemas.openxmlformats.org/officeDocument/2006/relationships/hyperlink" Target="https://ieeexplore.ieee.org/document/7759363" TargetMode="External"/><Relationship Id="rId26" Type="http://schemas.openxmlformats.org/officeDocument/2006/relationships/table" Target="../tables/table1.xml"/><Relationship Id="rId5" Type="http://schemas.openxmlformats.org/officeDocument/2006/relationships/hyperlink" Target="https://ieeexplore.ieee.org/document/9444546" TargetMode="External"/><Relationship Id="rId6" Type="http://schemas.openxmlformats.org/officeDocument/2006/relationships/hyperlink" Target="https://www.science.org/doi/10.1126/scirobotics.adp4256" TargetMode="External"/><Relationship Id="rId7" Type="http://schemas.openxmlformats.org/officeDocument/2006/relationships/hyperlink" Target="https://ieeexplore.ieee.org/document/10092926/media" TargetMode="External"/><Relationship Id="rId8" Type="http://schemas.openxmlformats.org/officeDocument/2006/relationships/hyperlink" Target="https://www.science.org/doi/10.1126/science.1231806" TargetMode="External"/><Relationship Id="rId11" Type="http://schemas.openxmlformats.org/officeDocument/2006/relationships/hyperlink" Target="https://www.nature.com/articles/s41586-019-1322-0" TargetMode="External"/><Relationship Id="rId10" Type="http://schemas.openxmlformats.org/officeDocument/2006/relationships/hyperlink" Target="https://ieeexplore.ieee.org/document/8603771/media" TargetMode="External"/><Relationship Id="rId13" Type="http://schemas.openxmlformats.org/officeDocument/2006/relationships/hyperlink" Target="https://ieeexplore.ieee.org/document/10106430" TargetMode="External"/><Relationship Id="rId12" Type="http://schemas.openxmlformats.org/officeDocument/2006/relationships/hyperlink" Target="https://ieeexplore.ieee.org/abstract/document/7555339" TargetMode="External"/><Relationship Id="rId15" Type="http://schemas.openxmlformats.org/officeDocument/2006/relationships/hyperlink" Target="https://www.researchgate.net/figure/total-mass-of-the-dragonfly-was-75375-mg-The-wing-strips-were-cut-as-shown-in-another_tbl1_226952774" TargetMode="External"/><Relationship Id="rId14" Type="http://schemas.openxmlformats.org/officeDocument/2006/relationships/hyperlink" Target="https://www.bumblebee.org/bodyWing.htm" TargetMode="External"/><Relationship Id="rId17" Type="http://schemas.openxmlformats.org/officeDocument/2006/relationships/hyperlink" Target="https://pmc.ncbi.nlm.nih.gov/articles/PMC4277108/" TargetMode="External"/><Relationship Id="rId16" Type="http://schemas.openxmlformats.org/officeDocument/2006/relationships/hyperlink" Target="https://press.princeton.edu/books/paperback/9780691094915/the-biomechanics-of-insect-flight?srsltid=AfmBOopOtyhLiA2u7gWjxid3jcjJy4h2D7g-1Rv1qhnvbishdWCrl2DL" TargetMode="External"/><Relationship Id="rId19" Type="http://schemas.openxmlformats.org/officeDocument/2006/relationships/hyperlink" Target="https://journals.biologists.com/jeb/article/200/21/2723/7598/The-mechanics-of-flight-in-the-hawkmoth-Manduca" TargetMode="External"/><Relationship Id="rId18" Type="http://schemas.openxmlformats.org/officeDocument/2006/relationships/hyperlink" Target="https://arc.aiaa.org/doi/10.2514/6.2016-32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6.25"/>
    <col customWidth="1" min="3" max="3" width="6.75"/>
    <col customWidth="1" min="4" max="4" width="6.88"/>
    <col customWidth="1" min="5" max="5" width="7.0"/>
    <col customWidth="1" min="6" max="6" width="11.13"/>
    <col customWidth="1" min="7" max="7" width="14.0"/>
    <col customWidth="1" min="8" max="8" width="15.38"/>
    <col customWidth="1" min="9" max="9" width="13.5"/>
    <col customWidth="1" min="10" max="10" width="14.0"/>
    <col customWidth="1" min="11" max="11" width="13.0"/>
    <col customWidth="1" min="12" max="12" width="23.0"/>
    <col customWidth="1" min="13" max="13" width="3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2" t="s">
        <v>12</v>
      </c>
      <c r="B2" s="2" t="s">
        <v>13</v>
      </c>
      <c r="C2" s="4">
        <v>1.64</v>
      </c>
      <c r="D2" s="2">
        <v>6.51</v>
      </c>
      <c r="E2" s="4">
        <f t="shared" ref="E2:E22" si="1">D2-C2</f>
        <v>4.87</v>
      </c>
      <c r="F2" s="5">
        <v>3.3</v>
      </c>
      <c r="G2" s="6">
        <f>0.405*1.03</f>
        <v>0.41715</v>
      </c>
      <c r="H2" s="7">
        <f t="shared" ref="H2:H4" si="2">0.1+0+I2</f>
        <v>0.2598275862</v>
      </c>
      <c r="I2" s="7">
        <f t="shared" ref="I2:I11" si="3">(G2/K2/J2)</f>
        <v>0.1598275862</v>
      </c>
      <c r="J2" s="8">
        <v>2.9</v>
      </c>
      <c r="K2" s="9">
        <v>0.9</v>
      </c>
      <c r="L2" s="2" t="s">
        <v>14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2" t="s">
        <v>15</v>
      </c>
      <c r="B3" s="4" t="s">
        <v>13</v>
      </c>
      <c r="C3" s="4">
        <v>1.0</v>
      </c>
      <c r="D3" s="2">
        <v>4.23</v>
      </c>
      <c r="E3" s="4">
        <f t="shared" si="1"/>
        <v>3.23</v>
      </c>
      <c r="F3" s="5">
        <v>3.3</v>
      </c>
      <c r="G3" s="6">
        <f>0.286*1.03</f>
        <v>0.29458</v>
      </c>
      <c r="H3" s="7">
        <f t="shared" si="2"/>
        <v>0.2128659004</v>
      </c>
      <c r="I3" s="7">
        <f t="shared" si="3"/>
        <v>0.1128659004</v>
      </c>
      <c r="J3" s="8">
        <v>2.9</v>
      </c>
      <c r="K3" s="9">
        <v>0.9</v>
      </c>
      <c r="L3" s="2" t="s">
        <v>16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2" t="s">
        <v>17</v>
      </c>
      <c r="B4" s="2" t="s">
        <v>13</v>
      </c>
      <c r="C4" s="2">
        <v>0.688</v>
      </c>
      <c r="D4" s="4">
        <v>1.0</v>
      </c>
      <c r="E4" s="7">
        <f t="shared" si="1"/>
        <v>0.312</v>
      </c>
      <c r="F4" s="5">
        <v>3.3</v>
      </c>
      <c r="G4" s="6">
        <f>0.85*1.03</f>
        <v>0.8755</v>
      </c>
      <c r="H4" s="7">
        <f t="shared" si="2"/>
        <v>0.435440613</v>
      </c>
      <c r="I4" s="7">
        <f t="shared" si="3"/>
        <v>0.335440613</v>
      </c>
      <c r="J4" s="8">
        <v>2.9</v>
      </c>
      <c r="K4" s="9">
        <v>0.9</v>
      </c>
      <c r="L4" s="2" t="s">
        <v>18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10" t="s">
        <v>19</v>
      </c>
      <c r="B5" s="2" t="s">
        <v>20</v>
      </c>
      <c r="C5" s="2">
        <v>0.143</v>
      </c>
      <c r="D5" s="7">
        <v>0.503</v>
      </c>
      <c r="E5" s="7">
        <f t="shared" si="1"/>
        <v>0.36</v>
      </c>
      <c r="F5" s="11">
        <v>4.5</v>
      </c>
      <c r="G5" s="7">
        <v>0.228</v>
      </c>
      <c r="H5" s="12">
        <f t="shared" ref="H5:H6" si="4">0.1+0.1+I5</f>
        <v>0.5144827586</v>
      </c>
      <c r="I5" s="12">
        <f t="shared" si="3"/>
        <v>0.3144827586</v>
      </c>
      <c r="J5" s="8">
        <v>2.9</v>
      </c>
      <c r="K5" s="9">
        <v>0.25</v>
      </c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13" t="s">
        <v>21</v>
      </c>
      <c r="B6" s="14" t="s">
        <v>20</v>
      </c>
      <c r="C6" s="14">
        <v>0.074</v>
      </c>
      <c r="D6" s="15">
        <v>0.08</v>
      </c>
      <c r="E6" s="12">
        <f t="shared" si="1"/>
        <v>0.006</v>
      </c>
      <c r="F6" s="11">
        <v>4.5</v>
      </c>
      <c r="G6" s="15">
        <v>0.05</v>
      </c>
      <c r="H6" s="12">
        <f t="shared" si="4"/>
        <v>0.2689655172</v>
      </c>
      <c r="I6" s="12">
        <f t="shared" si="3"/>
        <v>0.06896551724</v>
      </c>
      <c r="J6" s="16">
        <v>2.9</v>
      </c>
      <c r="K6" s="17">
        <v>0.25</v>
      </c>
      <c r="L6" s="18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>
      <c r="A7" s="1" t="s">
        <v>22</v>
      </c>
      <c r="B7" s="2" t="s">
        <v>20</v>
      </c>
      <c r="C7" s="2">
        <v>0.75</v>
      </c>
      <c r="D7" s="2">
        <f>2.2*C7</f>
        <v>1.65</v>
      </c>
      <c r="E7" s="2">
        <f t="shared" si="1"/>
        <v>0.9</v>
      </c>
      <c r="F7" s="5">
        <v>5.0</v>
      </c>
      <c r="G7" s="7">
        <f>(0.75 / 1000 * 9.8) / (0.0094)</f>
        <v>0.7819148936</v>
      </c>
      <c r="H7" s="7">
        <f>0.1+0.6+I7</f>
        <v>1.470359501</v>
      </c>
      <c r="I7" s="7">
        <f t="shared" si="3"/>
        <v>0.7703595011</v>
      </c>
      <c r="J7" s="8">
        <v>2.9</v>
      </c>
      <c r="K7" s="4">
        <v>0.35</v>
      </c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1" t="s">
        <v>23</v>
      </c>
      <c r="B8" s="2" t="s">
        <v>20</v>
      </c>
      <c r="C8" s="2">
        <v>0.095</v>
      </c>
      <c r="D8" s="2">
        <v>0.28</v>
      </c>
      <c r="E8" s="2">
        <f t="shared" si="1"/>
        <v>0.185</v>
      </c>
      <c r="F8" s="5">
        <v>3.3</v>
      </c>
      <c r="G8" s="7">
        <f>0.23</f>
        <v>0.23</v>
      </c>
      <c r="H8" s="7">
        <f t="shared" ref="H8:H10" si="5">0.1+0.1+I8</f>
        <v>0.5172413793</v>
      </c>
      <c r="I8" s="7">
        <f t="shared" si="3"/>
        <v>0.3172413793</v>
      </c>
      <c r="J8" s="8">
        <v>2.9</v>
      </c>
      <c r="K8" s="4">
        <v>0.25</v>
      </c>
      <c r="L8" s="2" t="s">
        <v>24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1" t="s">
        <v>25</v>
      </c>
      <c r="B9" s="2" t="s">
        <v>20</v>
      </c>
      <c r="C9" s="2">
        <v>0.08</v>
      </c>
      <c r="D9" s="2">
        <v>0.13</v>
      </c>
      <c r="E9" s="2">
        <f t="shared" si="1"/>
        <v>0.05</v>
      </c>
      <c r="F9" s="5">
        <v>3.0</v>
      </c>
      <c r="G9" s="7">
        <f>0.019</f>
        <v>0.019</v>
      </c>
      <c r="H9" s="7">
        <f t="shared" si="5"/>
        <v>0.2262068966</v>
      </c>
      <c r="I9" s="7">
        <f t="shared" si="3"/>
        <v>0.02620689655</v>
      </c>
      <c r="J9" s="8">
        <v>2.9</v>
      </c>
      <c r="K9" s="4">
        <v>0.25</v>
      </c>
      <c r="L9" s="2" t="s">
        <v>24</v>
      </c>
      <c r="M9" s="20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1" t="s">
        <v>26</v>
      </c>
      <c r="B10" s="2" t="s">
        <v>20</v>
      </c>
      <c r="C10" s="2">
        <v>0.21</v>
      </c>
      <c r="D10" s="2">
        <v>0.32</v>
      </c>
      <c r="E10" s="2">
        <f t="shared" si="1"/>
        <v>0.11</v>
      </c>
      <c r="F10" s="5">
        <v>4.2</v>
      </c>
      <c r="G10" s="7">
        <v>0.073</v>
      </c>
      <c r="H10" s="7">
        <f t="shared" si="5"/>
        <v>0.3006896552</v>
      </c>
      <c r="I10" s="7">
        <f t="shared" si="3"/>
        <v>0.1006896552</v>
      </c>
      <c r="J10" s="8">
        <v>2.9</v>
      </c>
      <c r="K10" s="4">
        <v>0.25</v>
      </c>
      <c r="L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1" t="s">
        <v>27</v>
      </c>
      <c r="B11" s="2" t="s">
        <v>20</v>
      </c>
      <c r="C11" s="2">
        <v>0.143</v>
      </c>
      <c r="D11" s="2">
        <f>0.262+C11</f>
        <v>0.405</v>
      </c>
      <c r="E11" s="2">
        <f t="shared" si="1"/>
        <v>0.262</v>
      </c>
      <c r="F11" s="5">
        <v>5.6</v>
      </c>
      <c r="G11" s="7">
        <f>0.019*2</f>
        <v>0.038</v>
      </c>
      <c r="H11" s="7">
        <f>0.2+0.116+0.144+0.075</f>
        <v>0.535</v>
      </c>
      <c r="I11" s="7">
        <f t="shared" si="3"/>
        <v>0.0524137931</v>
      </c>
      <c r="J11" s="8">
        <v>2.9</v>
      </c>
      <c r="K11" s="4">
        <v>0.25</v>
      </c>
      <c r="L11" s="2" t="s">
        <v>24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1" t="s">
        <v>28</v>
      </c>
      <c r="B12" s="2" t="s">
        <v>20</v>
      </c>
      <c r="C12" s="2">
        <v>0.259</v>
      </c>
      <c r="D12" s="2">
        <v>0.369</v>
      </c>
      <c r="E12" s="2">
        <f t="shared" si="1"/>
        <v>0.11</v>
      </c>
      <c r="F12" s="5">
        <v>6.5</v>
      </c>
      <c r="G12" s="7">
        <f>0.16</f>
        <v>0.16</v>
      </c>
      <c r="H12" s="5">
        <v>0.0</v>
      </c>
      <c r="I12" s="5">
        <v>0.0</v>
      </c>
      <c r="J12" s="8"/>
      <c r="K12" s="4">
        <v>0.28</v>
      </c>
      <c r="L12" s="2" t="s">
        <v>24</v>
      </c>
      <c r="M12" s="21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1" t="s">
        <v>29</v>
      </c>
      <c r="B13" s="2" t="s">
        <v>20</v>
      </c>
      <c r="C13" s="2">
        <v>0.08</v>
      </c>
      <c r="D13" s="2">
        <f>C13*1.15</f>
        <v>0.092</v>
      </c>
      <c r="E13" s="2">
        <f t="shared" si="1"/>
        <v>0.012</v>
      </c>
      <c r="F13" s="5">
        <v>3.5</v>
      </c>
      <c r="G13" s="2">
        <v>1.2</v>
      </c>
      <c r="H13" s="7">
        <f>0.1+0.1+I13</f>
        <v>0.6137931034</v>
      </c>
      <c r="I13" s="7">
        <f>(G13/K13/J13)</f>
        <v>0.4137931034</v>
      </c>
      <c r="J13" s="8">
        <v>2.9</v>
      </c>
      <c r="K13" s="4">
        <v>1.0</v>
      </c>
      <c r="L13" s="2" t="s">
        <v>30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1" t="s">
        <v>31</v>
      </c>
      <c r="B14" s="2" t="s">
        <v>20</v>
      </c>
      <c r="C14" s="2">
        <v>2.14</v>
      </c>
      <c r="D14" s="2">
        <v>3.15</v>
      </c>
      <c r="E14" s="2">
        <f t="shared" si="1"/>
        <v>1.01</v>
      </c>
      <c r="F14" s="5">
        <v>12.0</v>
      </c>
      <c r="G14" s="2">
        <v>0.55</v>
      </c>
      <c r="H14" s="5"/>
      <c r="I14" s="2"/>
      <c r="J14" s="2"/>
      <c r="K14" s="4">
        <v>0.8</v>
      </c>
      <c r="L14" s="2" t="s">
        <v>32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22" t="s">
        <v>33</v>
      </c>
      <c r="B15" s="2" t="s">
        <v>34</v>
      </c>
      <c r="C15" s="2">
        <v>0.6</v>
      </c>
      <c r="D15" s="2">
        <v>0.918</v>
      </c>
      <c r="E15" s="2">
        <f t="shared" si="1"/>
        <v>0.318</v>
      </c>
      <c r="F15" s="5">
        <v>2.3</v>
      </c>
      <c r="G15" s="3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1" t="s">
        <v>35</v>
      </c>
      <c r="B16" s="2" t="s">
        <v>34</v>
      </c>
      <c r="C16" s="2">
        <v>0.754</v>
      </c>
      <c r="D16" s="2">
        <v>1.25</v>
      </c>
      <c r="E16" s="2">
        <f t="shared" si="1"/>
        <v>0.496</v>
      </c>
      <c r="F16" s="5">
        <v>4.6</v>
      </c>
      <c r="G16" s="3"/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1" t="s">
        <v>36</v>
      </c>
      <c r="B17" s="2" t="s">
        <v>34</v>
      </c>
      <c r="C17" s="2">
        <v>0.1</v>
      </c>
      <c r="D17" s="2">
        <v>0.3</v>
      </c>
      <c r="E17" s="2">
        <f t="shared" si="1"/>
        <v>0.2</v>
      </c>
      <c r="F17" s="5">
        <v>2.5</v>
      </c>
      <c r="G17" s="3"/>
      <c r="H17" s="5"/>
      <c r="I17" s="3"/>
      <c r="J17" s="3"/>
      <c r="K17" s="3"/>
      <c r="L17" s="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1" t="s">
        <v>37</v>
      </c>
      <c r="B18" s="2" t="s">
        <v>34</v>
      </c>
      <c r="C18" s="2">
        <v>1.181</v>
      </c>
      <c r="D18" s="2">
        <v>3.06</v>
      </c>
      <c r="E18" s="2">
        <f t="shared" si="1"/>
        <v>1.879</v>
      </c>
      <c r="F18" s="4">
        <v>8.47</v>
      </c>
      <c r="G18" s="3"/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1" t="s">
        <v>38</v>
      </c>
      <c r="B19" s="2" t="s">
        <v>34</v>
      </c>
      <c r="C19" s="2">
        <v>0.5</v>
      </c>
      <c r="D19" s="5">
        <v>1.0</v>
      </c>
      <c r="E19" s="5">
        <f t="shared" si="1"/>
        <v>0.5</v>
      </c>
      <c r="F19" s="5">
        <v>9.0</v>
      </c>
      <c r="G19" s="3"/>
      <c r="H19" s="5"/>
      <c r="I19" s="3"/>
      <c r="J19" s="3"/>
      <c r="K19" s="3"/>
      <c r="L19" s="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1" t="s">
        <v>39</v>
      </c>
      <c r="B20" s="2" t="s">
        <v>34</v>
      </c>
      <c r="C20" s="5">
        <v>1.0</v>
      </c>
      <c r="D20" s="2">
        <v>2.5</v>
      </c>
      <c r="E20" s="5">
        <f t="shared" si="1"/>
        <v>1.5</v>
      </c>
      <c r="F20" s="5">
        <v>10.0</v>
      </c>
      <c r="G20" s="3"/>
      <c r="H20" s="5"/>
      <c r="I20" s="3"/>
      <c r="J20" s="3"/>
      <c r="K20" s="3"/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1" t="s">
        <v>40</v>
      </c>
      <c r="B21" s="2" t="s">
        <v>34</v>
      </c>
      <c r="C21" s="2">
        <v>1.0</v>
      </c>
      <c r="D21" s="2">
        <v>2.04</v>
      </c>
      <c r="E21" s="2">
        <f t="shared" si="1"/>
        <v>1.04</v>
      </c>
      <c r="F21" s="5">
        <v>5.0</v>
      </c>
      <c r="G21" s="3"/>
      <c r="H21" s="5"/>
      <c r="I21" s="3"/>
      <c r="J21" s="3"/>
      <c r="K21" s="3"/>
      <c r="L21" s="1" t="s">
        <v>41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1" t="s">
        <v>42</v>
      </c>
      <c r="B22" s="2" t="s">
        <v>34</v>
      </c>
      <c r="C22" s="2">
        <v>1.0</v>
      </c>
      <c r="D22" s="2">
        <f>C22*1.2</f>
        <v>1.2</v>
      </c>
      <c r="E22" s="2">
        <f t="shared" si="1"/>
        <v>0.2</v>
      </c>
      <c r="F22" s="5">
        <v>10.0</v>
      </c>
      <c r="G22" s="3"/>
      <c r="H22" s="5"/>
      <c r="I22" s="3"/>
      <c r="J22" s="3"/>
      <c r="K22" s="3"/>
      <c r="L22" s="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</row>
  </sheetData>
  <dataValidations>
    <dataValidation type="list" allowBlank="1" showErrorMessage="1" sqref="B2:B22">
      <formula1>"Coin-copter,Flapping-wing,Live Insect"</formula1>
    </dataValidation>
  </dataValidations>
  <hyperlinks>
    <hyperlink r:id="rId4" ref="A1"/>
    <hyperlink r:id="rId5" ref="A6"/>
    <hyperlink r:id="rId6" ref="A7"/>
    <hyperlink r:id="rId7" location="media" ref="A8"/>
    <hyperlink r:id="rId8" ref="A9"/>
    <hyperlink r:id="rId9" ref="A10"/>
    <hyperlink r:id="rId10" location="media" ref="A11"/>
    <hyperlink r:id="rId11" ref="A12"/>
    <hyperlink r:id="rId12" ref="A13"/>
    <hyperlink r:id="rId13" ref="A14"/>
    <hyperlink r:id="rId14" location=":~:text=Bumblebee%20workers%20can%20weigh%20from,and%20no%20bigger%20than%20houseflies." ref="A15"/>
    <hyperlink r:id="rId15" ref="A16"/>
    <hyperlink r:id="rId16" ref="A17"/>
    <hyperlink r:id="rId17" ref="A18"/>
    <hyperlink r:id="rId18" ref="A19"/>
    <hyperlink r:id="rId19" ref="A20"/>
    <hyperlink r:id="rId20" location=":~:text=hind%20wing%20area%20%28mm,87" ref="A21"/>
    <hyperlink r:id="rId21" location=":~:text=Take,ELIMEC%20Ltd%2C%20angle%2025%C2%B0" ref="L21"/>
    <hyperlink r:id="rId22" location=":~:text=Periplaneta%20americana%20adults%20are%20about,poor%20to%20moderately%20good%20fliers" ref="A22"/>
  </hyperlinks>
  <drawing r:id="rId23"/>
  <legacyDrawing r:id="rId24"/>
  <tableParts count="1">
    <tablePart r:id="rId26"/>
  </tableParts>
</worksheet>
</file>