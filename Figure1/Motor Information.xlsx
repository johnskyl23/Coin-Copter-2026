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kylej/Downloads/"/>
    </mc:Choice>
  </mc:AlternateContent>
  <xr:revisionPtr revIDLastSave="0" documentId="13_ncr:20001_{61CCE032-265F-224F-AEDC-7F265038BC07}" xr6:coauthVersionLast="47" xr6:coauthVersionMax="47" xr10:uidLastSave="{00000000-0000-0000-0000-000000000000}"/>
  <bookViews>
    <workbookView xWindow="0" yWindow="680" windowWidth="34560" windowHeight="21660" xr2:uid="{00000000-000D-0000-FFFF-FFFF00000000}"/>
  </bookViews>
  <sheets>
    <sheet name="Motor-Rotor" sheetId="1" r:id="rId1"/>
    <sheet name="Flapping-Wing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J2" i="2"/>
  <c r="H6" i="2"/>
  <c r="I6" i="2" s="1"/>
  <c r="G6" i="2"/>
  <c r="L6" i="2" s="1"/>
  <c r="H5" i="2"/>
  <c r="K5" i="2" s="1"/>
  <c r="L5" i="2" s="1"/>
  <c r="F5" i="2"/>
  <c r="K4" i="2"/>
  <c r="L4" i="2" s="1"/>
  <c r="I4" i="2"/>
  <c r="J4" i="2" s="1"/>
  <c r="G4" i="2"/>
  <c r="F4" i="2" s="1"/>
  <c r="L3" i="2"/>
  <c r="K3" i="2"/>
  <c r="J3" i="2"/>
  <c r="I3" i="2"/>
  <c r="F3" i="2"/>
  <c r="L2" i="2"/>
  <c r="K2" i="2"/>
  <c r="F2" i="2"/>
  <c r="L13" i="1"/>
  <c r="M13" i="1" s="1"/>
  <c r="N13" i="1" s="1"/>
  <c r="K13" i="1"/>
  <c r="J13" i="1"/>
  <c r="H13" i="1"/>
  <c r="L12" i="1"/>
  <c r="O12" i="1" s="1"/>
  <c r="J12" i="1"/>
  <c r="K12" i="1" s="1"/>
  <c r="H12" i="1"/>
  <c r="L11" i="1"/>
  <c r="O11" i="1" s="1"/>
  <c r="J11" i="1"/>
  <c r="K11" i="1" s="1"/>
  <c r="H11" i="1"/>
  <c r="H10" i="1"/>
  <c r="M9" i="1"/>
  <c r="L9" i="1"/>
  <c r="O9" i="1" s="1"/>
  <c r="J9" i="1"/>
  <c r="K9" i="1" s="1"/>
  <c r="I9" i="1"/>
  <c r="H9" i="1"/>
  <c r="O8" i="1"/>
  <c r="P8" i="1" s="1"/>
  <c r="L8" i="1"/>
  <c r="M8" i="1" s="1"/>
  <c r="N8" i="1" s="1"/>
  <c r="K8" i="1"/>
  <c r="J8" i="1"/>
  <c r="I8" i="1"/>
  <c r="H8" i="1"/>
  <c r="O7" i="1"/>
  <c r="P7" i="1" s="1"/>
  <c r="L7" i="1"/>
  <c r="M7" i="1" s="1"/>
  <c r="N7" i="1" s="1"/>
  <c r="K7" i="1"/>
  <c r="J7" i="1"/>
  <c r="I7" i="1"/>
  <c r="H7" i="1"/>
  <c r="H6" i="1"/>
  <c r="O5" i="1"/>
  <c r="P5" i="1" s="1"/>
  <c r="L5" i="1"/>
  <c r="M5" i="1" s="1"/>
  <c r="N5" i="1" s="1"/>
  <c r="K5" i="1"/>
  <c r="J5" i="1"/>
  <c r="H5" i="1"/>
  <c r="L4" i="1"/>
  <c r="M4" i="1" s="1"/>
  <c r="J4" i="1"/>
  <c r="K4" i="1" s="1"/>
  <c r="H4" i="1"/>
  <c r="L3" i="1"/>
  <c r="O3" i="1" s="1"/>
  <c r="J3" i="1"/>
  <c r="K3" i="1" s="1"/>
  <c r="H3" i="1"/>
  <c r="H2" i="1"/>
  <c r="P9" i="1" l="1"/>
  <c r="N9" i="1"/>
  <c r="P3" i="1"/>
  <c r="P11" i="1"/>
  <c r="N4" i="1"/>
  <c r="P12" i="1"/>
  <c r="M3" i="1"/>
  <c r="N3" i="1" s="1"/>
  <c r="O4" i="1"/>
  <c r="P4" i="1" s="1"/>
  <c r="M12" i="1"/>
  <c r="N12" i="1" s="1"/>
  <c r="O13" i="1"/>
  <c r="P13" i="1" s="1"/>
  <c r="I5" i="2"/>
  <c r="J5" i="2" s="1"/>
  <c r="M11" i="1"/>
  <c r="N11" i="1" s="1"/>
  <c r="F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tc={156831b1-b0cb-4346-bab0-a146da44d0c0}</author>
  </authors>
  <commentList>
    <comment ref="A1" authorId="0" shapeId="0" xr:uid="{156831B1-B0CB-4346-BAB0-A146DA44D0C0}">
      <text>
        <t>[Threaded comment]
Your version of Excel allows you to read this threaded comment; however, any edits to it will get removed if the file is opened in a newer version of Excel. Learn more: https://go.microsoft.com/fwlink/?linkid=870924
Comment:
    3.07</t>
      </text>
    </comment>
  </commentList>
</comments>
</file>

<file path=xl/sharedStrings.xml><?xml version="1.0" encoding="utf-8"?>
<sst xmlns="http://schemas.openxmlformats.org/spreadsheetml/2006/main" count="83" uniqueCount="35">
  <si>
    <t>Coin-Copter Variant</t>
  </si>
  <si>
    <t>Motor Dimensions (mm)</t>
  </si>
  <si>
    <t>Motor ESR (Ω)</t>
  </si>
  <si>
    <t>Motor Mass (m)</t>
  </si>
  <si>
    <t>Coin-Copter Mass (g)</t>
  </si>
  <si>
    <t>Voltage (V)</t>
  </si>
  <si>
    <t>No-load (RPM)</t>
  </si>
  <si>
    <t>No-load (mA)</t>
  </si>
  <si>
    <t>Flybar-rotor (RPM)</t>
  </si>
  <si>
    <t>Flybar-rotor (mA)</t>
  </si>
  <si>
    <t>Power (W)</t>
  </si>
  <si>
    <t>Lift (grams)</t>
  </si>
  <si>
    <t>Thrust (N)</t>
  </si>
  <si>
    <t>Efficiency (N/W)</t>
  </si>
  <si>
    <t>Usable Thrust (N)</t>
  </si>
  <si>
    <t>Efficiency of Net Thrust (N/W)</t>
  </si>
  <si>
    <t>Efficiency of Electronics</t>
  </si>
  <si>
    <t>Sub-gram</t>
  </si>
  <si>
    <t>3 x 8</t>
  </si>
  <si>
    <t>-</t>
  </si>
  <si>
    <t>Gram-scale</t>
  </si>
  <si>
    <t>4 x 12</t>
  </si>
  <si>
    <t>Multi-gram</t>
  </si>
  <si>
    <t>6 x 12</t>
  </si>
  <si>
    <t>Flapping-wing Variant</t>
  </si>
  <si>
    <t>Actuator Dimensions (mm)</t>
  </si>
  <si>
    <t>Actuator Mass (mg)</t>
  </si>
  <si>
    <t>Vehicle Mass (g)</t>
  </si>
  <si>
    <t>Actuator Current (mA)</t>
  </si>
  <si>
    <t>Net Thrust (N)</t>
  </si>
  <si>
    <t>Solar Robobee</t>
  </si>
  <si>
    <t>Large RoboFly (piezo)</t>
  </si>
  <si>
    <t>Tailless Flapping-wing</t>
  </si>
  <si>
    <t>MIT SoftFly (DEA)</t>
  </si>
  <si>
    <t>Large Robobee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</si>
</sst>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0"/>
    <numFmt numFmtId="165" formatCode="0.0"/>
    <numFmt numFmtId="166" formatCode="0.00000"/>
    <numFmt numFmtId="167" formatCode="0.0000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164" fontId="2" fillId="0" borderId="0" xfId="0" applyNumberFormat="1" applyFont="1"/>
    <xf numFmtId="165" fontId="2" fillId="0" borderId="0" xfId="0" applyNumberFormat="1" applyFont="1" applyAlignment="1">
      <alignment horizontal="center" vertical="center" wrapText="1"/>
    </xf>
    <xf numFmtId="2" fontId="2" fillId="2" borderId="0" xfId="0" applyNumberFormat="1" applyFont="1" applyFill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3" fontId="2" fillId="3" borderId="0" xfId="0" applyNumberFormat="1" applyFont="1" applyFill="1" applyAlignment="1">
      <alignment horizontal="center" vertical="center" wrapText="1"/>
    </xf>
    <xf numFmtId="165" fontId="2" fillId="3" borderId="0" xfId="0" applyNumberFormat="1" applyFont="1" applyFill="1" applyAlignment="1">
      <alignment horizontal="center" vertical="center" wrapText="1"/>
    </xf>
    <xf numFmtId="2" fontId="2" fillId="3" borderId="0" xfId="0" applyNumberFormat="1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2" borderId="0" xfId="0" applyNumberFormat="1" applyFont="1" applyFill="1"/>
    <xf numFmtId="0" fontId="3" fillId="2" borderId="0" xfId="0" applyFont="1" applyFill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 wrapText="1"/>
    </xf>
    <xf numFmtId="167" fontId="2" fillId="2" borderId="0" xfId="0" applyNumberFormat="1" applyFont="1" applyFill="1" applyAlignment="1">
      <alignment horizontal="center" vertical="center" wrapText="1"/>
    </xf>
    <xf numFmtId="166" fontId="2" fillId="3" borderId="0" xfId="0" applyNumberFormat="1" applyFont="1" applyFill="1" applyAlignment="1">
      <alignment horizontal="center" vertical="center" wrapText="1"/>
    </xf>
    <xf numFmtId="167" fontId="2" fillId="3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2" borderId="0" xfId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6" formatCode="0.00000"/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7" formatCode="0.0000"/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Motor-Rotor-style" pivot="0" count="3" xr9:uid="{00000000-0011-0000-FFFF-FFFF00000000}">
      <tableStyleElement type="headerRow" dxfId="7"/>
      <tableStyleElement type="firstRowStripe" dxfId="6"/>
      <tableStyleElement type="secondRowStripe" dxfId="5"/>
    </tableStyle>
    <tableStyle name="Flapping-Wing-style" pivot="0" count="3" xr9:uid="{00000000-0011-0000-FFFF-FFFF01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190500</xdr:colOff>
      <xdr:row>0</xdr:row>
      <xdr:rowOff>317500</xdr:rowOff>
    </xdr:from>
    <xdr:to>
      <xdr:col>5</xdr:col>
      <xdr:colOff>190500</xdr:colOff>
      <xdr:row>6</xdr:row>
      <xdr:rowOff>50800</xdr:rowOff>
    </xdr:to>
    <xdr:sp macro="" textlink="">
      <xdr:nvSpPr>
        <xdr:cNvPr id="1033" name="Text Box 9" hidden="1">
          <a:extLst>
            <a:ext uri="{FF2B5EF4-FFF2-40B4-BE49-F238E27FC236}">
              <a16:creationId xmlns:a16="http://schemas.microsoft.com/office/drawing/2014/main" id="{9422DE47-D018-AEB4-0AF0-F91AED11DE7D}"/>
            </a:ext>
          </a:extLst>
        </xdr:cNvPr>
        <xdr:cNvSpPr txBox="1">
          <a:spLocks noChangeArrowheads="1"/>
        </xdr:cNvSpPr>
      </xdr:nvSpPr>
      <xdr:spPr bwMode="auto">
        <a:xfrm>
          <a:off x="1003300" y="317500"/>
          <a:ext cx="34544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0</xdr:row>
      <xdr:rowOff>317500</xdr:rowOff>
    </xdr:from>
    <xdr:to>
      <xdr:col>5</xdr:col>
      <xdr:colOff>190500</xdr:colOff>
      <xdr:row>6</xdr:row>
      <xdr:rowOff>50800</xdr:rowOff>
    </xdr:to>
    <xdr:sp macro="" textlink="">
      <xdr:nvSpPr>
        <xdr:cNvPr id="1032" name="Text Box 8" hidden="1">
          <a:extLst>
            <a:ext uri="{FF2B5EF4-FFF2-40B4-BE49-F238E27FC236}">
              <a16:creationId xmlns:a16="http://schemas.microsoft.com/office/drawing/2014/main" id="{F563CA6F-055E-19D5-1CE1-55B0452FB0B9}"/>
            </a:ext>
          </a:extLst>
        </xdr:cNvPr>
        <xdr:cNvSpPr txBox="1">
          <a:spLocks noChangeArrowheads="1"/>
        </xdr:cNvSpPr>
      </xdr:nvSpPr>
      <xdr:spPr bwMode="auto">
        <a:xfrm>
          <a:off x="1003300" y="317500"/>
          <a:ext cx="34544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0</xdr:row>
      <xdr:rowOff>317500</xdr:rowOff>
    </xdr:from>
    <xdr:to>
      <xdr:col>5</xdr:col>
      <xdr:colOff>190500</xdr:colOff>
      <xdr:row>6</xdr:row>
      <xdr:rowOff>50800</xdr:rowOff>
    </xdr:to>
    <xdr:sp macro="" textlink="">
      <xdr:nvSpPr>
        <xdr:cNvPr id="1031" name="Text Box 7" hidden="1">
          <a:extLst>
            <a:ext uri="{FF2B5EF4-FFF2-40B4-BE49-F238E27FC236}">
              <a16:creationId xmlns:a16="http://schemas.microsoft.com/office/drawing/2014/main" id="{F958A19F-3D0F-4A5E-21DF-A5DF55B3D501}"/>
            </a:ext>
          </a:extLst>
        </xdr:cNvPr>
        <xdr:cNvSpPr txBox="1">
          <a:spLocks noChangeArrowheads="1"/>
        </xdr:cNvSpPr>
      </xdr:nvSpPr>
      <xdr:spPr bwMode="auto">
        <a:xfrm>
          <a:off x="1003300" y="317500"/>
          <a:ext cx="34544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0</xdr:row>
      <xdr:rowOff>317500</xdr:rowOff>
    </xdr:from>
    <xdr:to>
      <xdr:col>5</xdr:col>
      <xdr:colOff>190500</xdr:colOff>
      <xdr:row>6</xdr:row>
      <xdr:rowOff>50800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9F1E07C2-33C2-A6B7-D23E-A852734B805D}"/>
            </a:ext>
          </a:extLst>
        </xdr:cNvPr>
        <xdr:cNvSpPr txBox="1">
          <a:spLocks noChangeArrowheads="1"/>
        </xdr:cNvSpPr>
      </xdr:nvSpPr>
      <xdr:spPr bwMode="auto">
        <a:xfrm>
          <a:off x="1003300" y="317500"/>
          <a:ext cx="34544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0</xdr:row>
      <xdr:rowOff>317500</xdr:rowOff>
    </xdr:from>
    <xdr:to>
      <xdr:col>5</xdr:col>
      <xdr:colOff>190500</xdr:colOff>
      <xdr:row>6</xdr:row>
      <xdr:rowOff>50800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A3D7F27D-54E0-020F-C1EC-1873B8AE72A1}"/>
            </a:ext>
          </a:extLst>
        </xdr:cNvPr>
        <xdr:cNvSpPr txBox="1">
          <a:spLocks noChangeArrowheads="1"/>
        </xdr:cNvSpPr>
      </xdr:nvSpPr>
      <xdr:spPr bwMode="auto">
        <a:xfrm>
          <a:off x="1003300" y="317500"/>
          <a:ext cx="34544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0</xdr:row>
      <xdr:rowOff>317500</xdr:rowOff>
    </xdr:from>
    <xdr:to>
      <xdr:col>5</xdr:col>
      <xdr:colOff>190500</xdr:colOff>
      <xdr:row>6</xdr:row>
      <xdr:rowOff>50800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1A42AF62-83F6-045D-8D36-44A741374C16}"/>
            </a:ext>
          </a:extLst>
        </xdr:cNvPr>
        <xdr:cNvSpPr txBox="1">
          <a:spLocks noChangeArrowheads="1"/>
        </xdr:cNvSpPr>
      </xdr:nvSpPr>
      <xdr:spPr bwMode="auto">
        <a:xfrm>
          <a:off x="1003300" y="317500"/>
          <a:ext cx="34544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yle Johnson" id="{F9ABC3B9-0ABE-4B83-8D0A-02E4E20B2DB6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Q13">
  <tableColumns count="17">
    <tableColumn id="1" xr3:uid="{00000000-0010-0000-0000-000001000000}" name="Coin-Copter Variant"/>
    <tableColumn id="2" xr3:uid="{00000000-0010-0000-0000-000002000000}" name="Motor Dimensions (mm)"/>
    <tableColumn id="3" xr3:uid="{00000000-0010-0000-0000-000003000000}" name="Motor ESR (Ω)"/>
    <tableColumn id="4" xr3:uid="{00000000-0010-0000-0000-000004000000}" name="Motor Mass (m)"/>
    <tableColumn id="5" xr3:uid="{00000000-0010-0000-0000-000005000000}" name="Coin-Copter Mass (g)"/>
    <tableColumn id="6" xr3:uid="{00000000-0010-0000-0000-000006000000}" name="Voltage (V)"/>
    <tableColumn id="7" xr3:uid="{00000000-0010-0000-0000-000007000000}" name="No-load (RPM)"/>
    <tableColumn id="8" xr3:uid="{00000000-0010-0000-0000-000008000000}" name="No-load (mA)"/>
    <tableColumn id="9" xr3:uid="{00000000-0010-0000-0000-000009000000}" name="Flybar-rotor (RPM)"/>
    <tableColumn id="10" xr3:uid="{00000000-0010-0000-0000-00000A000000}" name="Flybar-rotor (mA)"/>
    <tableColumn id="11" xr3:uid="{00000000-0010-0000-0000-00000B000000}" name="Power (W)"/>
    <tableColumn id="12" xr3:uid="{00000000-0010-0000-0000-00000C000000}" name="Lift (grams)"/>
    <tableColumn id="13" xr3:uid="{00000000-0010-0000-0000-00000D000000}" name="Thrust (N)"/>
    <tableColumn id="14" xr3:uid="{00000000-0010-0000-0000-00000E000000}" name="Efficiency (N/W)"/>
    <tableColumn id="15" xr3:uid="{00000000-0010-0000-0000-00000F000000}" name="Usable Thrust (N)"/>
    <tableColumn id="16" xr3:uid="{00000000-0010-0000-0000-000010000000}" name="Efficiency of Net Thrust (N/W)"/>
    <tableColumn id="17" xr3:uid="{00000000-0010-0000-0000-000011000000}" name="Efficiency of Electronics"/>
  </tableColumns>
  <tableStyleInfo name="Motor-Roto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M6">
  <tableColumns count="13">
    <tableColumn id="1" xr3:uid="{00000000-0010-0000-0100-000001000000}" name="Flapping-wing Variant"/>
    <tableColumn id="2" xr3:uid="{00000000-0010-0000-0100-000002000000}" name="Actuator Dimensions (mm)"/>
    <tableColumn id="3" xr3:uid="{00000000-0010-0000-0100-000003000000}" name="Actuator Mass (mg)"/>
    <tableColumn id="4" xr3:uid="{00000000-0010-0000-0100-000004000000}" name="Vehicle Mass (g)"/>
    <tableColumn id="5" xr3:uid="{00000000-0010-0000-0100-000005000000}" name="Voltage (V)"/>
    <tableColumn id="6" xr3:uid="{00000000-0010-0000-0100-000006000000}" name="Actuator Current (mA)"/>
    <tableColumn id="7" xr3:uid="{00000000-0010-0000-0100-000007000000}" name="Power (W)"/>
    <tableColumn id="8" xr3:uid="{00000000-0010-0000-0100-000008000000}" name="Lift (grams)"/>
    <tableColumn id="9" xr3:uid="{00000000-0010-0000-0100-000009000000}" name="Thrust (N)" dataDxfId="0"/>
    <tableColumn id="10" xr3:uid="{00000000-0010-0000-0100-00000A000000}" name="Efficiency (N/W)" dataDxfId="1"/>
    <tableColumn id="11" xr3:uid="{00000000-0010-0000-0100-00000B000000}" name="Net Thrust (N)"/>
    <tableColumn id="12" xr3:uid="{00000000-0010-0000-0100-00000C000000}" name="Efficiency of Net Thrust (N/W)"/>
    <tableColumn id="13" xr3:uid="{00000000-0010-0000-0100-00000D000000}" name="Efficiency of Electronics"/>
  </tableColumns>
  <tableStyleInfo name="Flapping-Win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0-23T03:30:04.00" personId="{F9ABC3B9-0ABE-4B83-8D0A-02E4E20B2DB6}" id="{156831B1-B0CB-4346-BAB0-A146DA44D0C0}">
    <text>3.07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eeexplore.ieee.org/document/10106430" TargetMode="External"/><Relationship Id="rId2" Type="http://schemas.openxmlformats.org/officeDocument/2006/relationships/hyperlink" Target="https://ieeexplore.ieee.org/document/7759363" TargetMode="External"/><Relationship Id="rId1" Type="http://schemas.openxmlformats.org/officeDocument/2006/relationships/hyperlink" Target="https://www.nature.com/articles/s41586-019-1322-0" TargetMode="Externa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3"/>
  <sheetViews>
    <sheetView tabSelected="1" workbookViewId="0">
      <pane ySplit="1" topLeftCell="A2" activePane="bottomLeft" state="frozen"/>
      <selection pane="bottomLeft" activeCell="D21" sqref="D21"/>
    </sheetView>
  </sheetViews>
  <sheetFormatPr baseColWidth="10" defaultColWidth="12.6640625" defaultRowHeight="15.75" customHeight="1" x14ac:dyDescent="0.15"/>
  <cols>
    <col min="1" max="1" width="10.6640625" customWidth="1"/>
    <col min="2" max="2" width="15" customWidth="1"/>
    <col min="3" max="3" width="9.5" customWidth="1"/>
    <col min="4" max="4" width="10.1640625" customWidth="1"/>
    <col min="5" max="5" width="10.6640625" customWidth="1"/>
    <col min="6" max="8" width="7.1640625" customWidth="1"/>
    <col min="9" max="10" width="10.5" customWidth="1"/>
    <col min="11" max="11" width="6" customWidth="1"/>
    <col min="12" max="12" width="7.1640625" customWidth="1"/>
    <col min="13" max="13" width="6.1640625" customWidth="1"/>
    <col min="14" max="14" width="9.5" customWidth="1"/>
    <col min="15" max="15" width="9" customWidth="1"/>
    <col min="16" max="16" width="14" customWidth="1"/>
    <col min="17" max="17" width="11.6640625" customWidth="1"/>
  </cols>
  <sheetData>
    <row r="1" spans="1:17" ht="30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75" customHeight="1" x14ac:dyDescent="0.15">
      <c r="A2" s="2" t="s">
        <v>17</v>
      </c>
      <c r="B2" s="2" t="s">
        <v>18</v>
      </c>
      <c r="C2" s="2">
        <v>13.5</v>
      </c>
      <c r="D2" s="2">
        <v>0.28299999999999997</v>
      </c>
      <c r="E2" s="2">
        <v>0.68799999999999994</v>
      </c>
      <c r="F2" s="2">
        <v>1</v>
      </c>
      <c r="G2" s="3">
        <v>10123</v>
      </c>
      <c r="H2" s="4">
        <f>(27.954+26.924+26.75)/3</f>
        <v>27.209333333333333</v>
      </c>
      <c r="I2" s="3" t="s">
        <v>19</v>
      </c>
      <c r="J2" s="5" t="s">
        <v>19</v>
      </c>
      <c r="K2" s="6" t="s">
        <v>19</v>
      </c>
      <c r="L2" s="7" t="s">
        <v>19</v>
      </c>
      <c r="M2" s="8" t="s">
        <v>19</v>
      </c>
      <c r="N2" s="8" t="s">
        <v>19</v>
      </c>
      <c r="O2" s="8" t="s">
        <v>19</v>
      </c>
      <c r="P2" s="8" t="s">
        <v>19</v>
      </c>
      <c r="Q2" s="2">
        <v>0.9</v>
      </c>
    </row>
    <row r="3" spans="1:17" ht="15.75" customHeight="1" x14ac:dyDescent="0.15">
      <c r="A3" s="9" t="s">
        <v>17</v>
      </c>
      <c r="B3" s="9" t="s">
        <v>18</v>
      </c>
      <c r="C3" s="9">
        <v>13.5</v>
      </c>
      <c r="D3" s="9">
        <v>0.28299999999999997</v>
      </c>
      <c r="E3" s="9">
        <v>0.68799999999999994</v>
      </c>
      <c r="F3" s="9">
        <v>2</v>
      </c>
      <c r="G3" s="10">
        <v>49457</v>
      </c>
      <c r="H3" s="11">
        <f>(41.764+40.366+38.157)/3</f>
        <v>40.095666666666666</v>
      </c>
      <c r="I3" s="10">
        <v>6218</v>
      </c>
      <c r="J3" s="11">
        <f>((99.409+99.423+99.443)+(99.458+99.468+99.469)+(99.549+99.473+99.49))/9</f>
        <v>99.464666666666673</v>
      </c>
      <c r="K3" s="12">
        <f t="shared" ref="K3:K5" si="0">F3*J3/1000</f>
        <v>0.19892933333333335</v>
      </c>
      <c r="L3" s="12">
        <f>((0.315+0.3136+0.3128)+(0.2894+0.2875+0.2849)+(0.281+0.2798+0.2803))/9</f>
        <v>0.29381111111111108</v>
      </c>
      <c r="M3" s="13">
        <f t="shared" ref="M3:M5" si="1">((L3 / 1000)*9.81)</f>
        <v>2.8822869999999999E-3</v>
      </c>
      <c r="N3" s="13">
        <f t="shared" ref="N3:N5" si="2">M3/K3</f>
        <v>1.4488999443688545E-2</v>
      </c>
      <c r="O3" s="13">
        <f t="shared" ref="O3:O5" si="3">IF(L3-E3&gt;0,((L3-E3)/ 1000)*9.81,0)</f>
        <v>0</v>
      </c>
      <c r="P3" s="13">
        <f t="shared" ref="P3:P5" si="4">O3/K3</f>
        <v>0</v>
      </c>
      <c r="Q3" s="9">
        <v>0.9</v>
      </c>
    </row>
    <row r="4" spans="1:17" ht="15.75" customHeight="1" x14ac:dyDescent="0.15">
      <c r="A4" s="2" t="s">
        <v>17</v>
      </c>
      <c r="B4" s="2" t="s">
        <v>18</v>
      </c>
      <c r="C4" s="2">
        <v>13.5</v>
      </c>
      <c r="D4" s="2">
        <v>0.28299999999999997</v>
      </c>
      <c r="E4" s="2">
        <v>0.68799999999999994</v>
      </c>
      <c r="F4" s="2">
        <v>3</v>
      </c>
      <c r="G4" s="3">
        <v>65943</v>
      </c>
      <c r="H4" s="14">
        <f>(55.239+50.29+48.835)/3</f>
        <v>51.454666666666668</v>
      </c>
      <c r="I4" s="3">
        <v>10694</v>
      </c>
      <c r="J4" s="14">
        <f>((138.81+137.78+136.63)+(132.6+133.18+134.01)+(134.01+133.27+132.42))/9</f>
        <v>134.74555555555557</v>
      </c>
      <c r="K4" s="6">
        <f t="shared" si="0"/>
        <v>0.40423666666666669</v>
      </c>
      <c r="L4" s="6">
        <f>((0.4636+0.4591+0.4494)+(0.4694+0.4676+0.4623)+(0.4596+0.4456+0.4478))/9</f>
        <v>0.4582666666666666</v>
      </c>
      <c r="M4" s="8">
        <f t="shared" si="1"/>
        <v>4.4955960000000001E-3</v>
      </c>
      <c r="N4" s="8">
        <f t="shared" si="2"/>
        <v>1.1121197978082146E-2</v>
      </c>
      <c r="O4" s="8">
        <f t="shared" si="3"/>
        <v>0</v>
      </c>
      <c r="P4" s="8">
        <f t="shared" si="4"/>
        <v>0</v>
      </c>
      <c r="Q4" s="2">
        <v>0.9</v>
      </c>
    </row>
    <row r="5" spans="1:17" ht="15.75" customHeight="1" x14ac:dyDescent="0.15">
      <c r="A5" s="9" t="s">
        <v>17</v>
      </c>
      <c r="B5" s="9" t="s">
        <v>18</v>
      </c>
      <c r="C5" s="9">
        <v>13.5</v>
      </c>
      <c r="D5" s="9">
        <v>0.28299999999999997</v>
      </c>
      <c r="E5" s="9">
        <v>0.68799999999999994</v>
      </c>
      <c r="F5" s="9">
        <v>4</v>
      </c>
      <c r="G5" s="10">
        <v>79132</v>
      </c>
      <c r="H5" s="11">
        <f>(62.434+60.728+59.513)/3</f>
        <v>60.891666666666673</v>
      </c>
      <c r="I5" s="10">
        <v>12167</v>
      </c>
      <c r="J5" s="11">
        <f>((180.14+176.46+174.87)+(176.12+173.87+172.05)+(172.77+170.87+168.63))/9</f>
        <v>173.97555555555556</v>
      </c>
      <c r="K5" s="12">
        <f t="shared" si="0"/>
        <v>0.6959022222222222</v>
      </c>
      <c r="L5" s="12">
        <f>((0.6384+0.6306+0.6207)+(0.6034+0.5922+0.5851)+(0.6018+0.5976+0.5907))/9</f>
        <v>0.60672222222222216</v>
      </c>
      <c r="M5" s="13">
        <f t="shared" si="1"/>
        <v>5.9519449999999993E-3</v>
      </c>
      <c r="N5" s="13">
        <f t="shared" si="2"/>
        <v>8.5528466642823386E-3</v>
      </c>
      <c r="O5" s="13">
        <f t="shared" si="3"/>
        <v>0</v>
      </c>
      <c r="P5" s="13">
        <f t="shared" si="4"/>
        <v>0</v>
      </c>
      <c r="Q5" s="9">
        <v>0.9</v>
      </c>
    </row>
    <row r="6" spans="1:17" ht="15.75" customHeight="1" x14ac:dyDescent="0.15">
      <c r="A6" s="2" t="s">
        <v>20</v>
      </c>
      <c r="B6" s="2" t="s">
        <v>21</v>
      </c>
      <c r="C6" s="6">
        <v>4.5999999999999996</v>
      </c>
      <c r="D6" s="2">
        <v>0.66500000000000004</v>
      </c>
      <c r="E6" s="6">
        <v>1</v>
      </c>
      <c r="F6" s="2">
        <v>1</v>
      </c>
      <c r="G6" s="3">
        <v>21981</v>
      </c>
      <c r="H6" s="15">
        <f>(33.731+34.563+34.883)/3</f>
        <v>34.39233333333334</v>
      </c>
      <c r="I6" s="3" t="s">
        <v>19</v>
      </c>
      <c r="J6" s="14" t="s">
        <v>19</v>
      </c>
      <c r="K6" s="6" t="s">
        <v>19</v>
      </c>
      <c r="L6" s="6" t="s">
        <v>19</v>
      </c>
      <c r="M6" s="8" t="s">
        <v>19</v>
      </c>
      <c r="N6" s="8" t="s">
        <v>19</v>
      </c>
      <c r="O6" s="8" t="s">
        <v>19</v>
      </c>
      <c r="P6" s="8" t="s">
        <v>19</v>
      </c>
      <c r="Q6" s="2">
        <v>0.9</v>
      </c>
    </row>
    <row r="7" spans="1:17" ht="15.75" customHeight="1" x14ac:dyDescent="0.15">
      <c r="A7" s="9" t="s">
        <v>20</v>
      </c>
      <c r="B7" s="9" t="s">
        <v>21</v>
      </c>
      <c r="C7" s="12">
        <v>4.5999999999999996</v>
      </c>
      <c r="D7" s="9">
        <v>0.66500000000000004</v>
      </c>
      <c r="E7" s="12">
        <v>1</v>
      </c>
      <c r="F7" s="9">
        <v>2</v>
      </c>
      <c r="G7" s="10">
        <v>44623</v>
      </c>
      <c r="H7" s="11">
        <f>(57.169+56.907+56.752)/3</f>
        <v>56.942666666666668</v>
      </c>
      <c r="I7" s="10">
        <f>(19783/61.75)*60</f>
        <v>19222.34817813765</v>
      </c>
      <c r="J7" s="11">
        <f>((228.2+226.6+227.7)+(229+228+228.3)+(226.8+225+225.7)+(251.7+250.1+248.4)+(245.2+244.3+243.7)+(244.4+242.5+240.3))/18</f>
        <v>236.43888888888887</v>
      </c>
      <c r="K7" s="12">
        <f t="shared" ref="K7:K9" si="5">F7*J7/1000</f>
        <v>0.47287777777777773</v>
      </c>
      <c r="L7" s="12">
        <f>((1.2817+1.2753+1.2674)+(1.2898+1.2845+1.2817)+(1.2905+1.286+1.2783)+(1.43498+1.42323+1.42079)+(1.43762+1.4137+1.39948)+(1.38501+1.38827+1.36682))/18</f>
        <v>1.3447277777777777</v>
      </c>
      <c r="M7" s="13">
        <f t="shared" ref="M7:M9" si="6">((L7 / 1000)*9.81)</f>
        <v>1.31917795E-2</v>
      </c>
      <c r="N7" s="13">
        <f t="shared" ref="N7:N9" si="7">M7/K7</f>
        <v>2.7896805728518062E-2</v>
      </c>
      <c r="O7" s="13">
        <f t="shared" ref="O7:O9" si="8">IF(L7-E7&gt;0,((L7-E7)/ 1000)*9.81,0)</f>
        <v>3.3817794999999999E-3</v>
      </c>
      <c r="P7" s="13">
        <f t="shared" ref="P7:P9" si="9">O7/K7</f>
        <v>7.1514874644611013E-3</v>
      </c>
      <c r="Q7" s="9">
        <v>0.9</v>
      </c>
    </row>
    <row r="8" spans="1:17" ht="15.75" customHeight="1" x14ac:dyDescent="0.15">
      <c r="A8" s="2" t="s">
        <v>20</v>
      </c>
      <c r="B8" s="2" t="s">
        <v>21</v>
      </c>
      <c r="C8" s="6">
        <v>4.5999999999999996</v>
      </c>
      <c r="D8" s="2">
        <v>0.66500000000000004</v>
      </c>
      <c r="E8" s="6">
        <v>1</v>
      </c>
      <c r="F8" s="2">
        <v>3</v>
      </c>
      <c r="G8" s="3">
        <v>65515</v>
      </c>
      <c r="H8" s="14">
        <f>(69.496+67.821+65.441)/3</f>
        <v>67.585999999999999</v>
      </c>
      <c r="I8" s="3">
        <f>(19783/47.75)*60</f>
        <v>24858.219895287955</v>
      </c>
      <c r="J8" s="14">
        <f>((361.2+357.4+356.9)+(361.4+358.1+355.7)+(358.7+355.1+353.2)+(393.9+391.5+390.1)+(394+391.6+387.1+389.4)+(385.5+385+380.5))/18</f>
        <v>394.79444444444442</v>
      </c>
      <c r="K8" s="6">
        <f t="shared" si="5"/>
        <v>1.1843833333333331</v>
      </c>
      <c r="L8" s="6">
        <f>((2.201+2.1549+2.1654)+(2.2522+2.2275+2.2082)+(2.2375+2.2119+2.1917)+(2.4471+2.4259+2.4066)+(2.4273+2.3997+2.3735)+(2.4048+2.3762+2.3506))/18</f>
        <v>2.3034444444444442</v>
      </c>
      <c r="M8" s="8">
        <f t="shared" si="6"/>
        <v>2.2596789999999999E-2</v>
      </c>
      <c r="N8" s="8">
        <f t="shared" si="7"/>
        <v>1.9078949664382311E-2</v>
      </c>
      <c r="O8" s="8">
        <f t="shared" si="8"/>
        <v>1.2786789999999998E-2</v>
      </c>
      <c r="P8" s="8">
        <f t="shared" si="9"/>
        <v>1.0796158338375807E-2</v>
      </c>
      <c r="Q8" s="2">
        <v>0.9</v>
      </c>
    </row>
    <row r="9" spans="1:17" ht="15.75" customHeight="1" x14ac:dyDescent="0.15">
      <c r="A9" s="9" t="s">
        <v>20</v>
      </c>
      <c r="B9" s="9" t="s">
        <v>21</v>
      </c>
      <c r="C9" s="12">
        <v>4.5999999999999996</v>
      </c>
      <c r="D9" s="16">
        <v>0.66500000000000004</v>
      </c>
      <c r="E9" s="12">
        <v>1</v>
      </c>
      <c r="F9" s="9">
        <v>4</v>
      </c>
      <c r="G9" s="10">
        <v>78091</v>
      </c>
      <c r="H9" s="11">
        <f>(70.82+70.747+71.335)/3</f>
        <v>70.967333333333329</v>
      </c>
      <c r="I9" s="10">
        <f>(19783/40)*60</f>
        <v>29674.5</v>
      </c>
      <c r="J9" s="11">
        <f>((501.3+500.3+493.5)+(495.6+493.1+487.7)+(488.8+487.6+482)+(539.7+529.6+524.1)+(526.5+522.3+514.1)+(517.6+516.8+512.2))/18</f>
        <v>507.37777777777774</v>
      </c>
      <c r="K9" s="12">
        <f t="shared" si="5"/>
        <v>2.0295111111111108</v>
      </c>
      <c r="L9" s="12">
        <f>((3.2981+3.2511+3.216)+(3.2475+3.2091+3.17)+(3.1901+3.1509+3.1148)+(3.3852+3.3861+3.3559)+(3.3446+3.2947+3.2466)+(3.3106+3.256+3.216))/18</f>
        <v>3.2579611111111109</v>
      </c>
      <c r="M9" s="13">
        <f t="shared" si="6"/>
        <v>3.19605985E-2</v>
      </c>
      <c r="N9" s="13">
        <f t="shared" si="7"/>
        <v>1.5747929796995446E-2</v>
      </c>
      <c r="O9" s="13">
        <f t="shared" si="8"/>
        <v>2.21505985E-2</v>
      </c>
      <c r="P9" s="13">
        <f t="shared" si="9"/>
        <v>1.0914253377934479E-2</v>
      </c>
      <c r="Q9" s="9">
        <v>0.9</v>
      </c>
    </row>
    <row r="10" spans="1:17" ht="15.75" customHeight="1" x14ac:dyDescent="0.15">
      <c r="A10" s="2" t="s">
        <v>22</v>
      </c>
      <c r="B10" s="2" t="s">
        <v>23</v>
      </c>
      <c r="C10" s="2">
        <v>1.95</v>
      </c>
      <c r="D10" s="2">
        <v>1.23</v>
      </c>
      <c r="E10" s="2">
        <v>1.64</v>
      </c>
      <c r="F10" s="2">
        <v>1</v>
      </c>
      <c r="G10" s="3">
        <v>21196</v>
      </c>
      <c r="H10" s="17">
        <f>(41.895+42.054+41.593)/3</f>
        <v>41.847333333333339</v>
      </c>
      <c r="I10" s="3" t="s">
        <v>19</v>
      </c>
      <c r="J10" s="14" t="s">
        <v>19</v>
      </c>
      <c r="K10" s="6" t="s">
        <v>19</v>
      </c>
      <c r="L10" s="6" t="s">
        <v>19</v>
      </c>
      <c r="M10" s="8" t="s">
        <v>19</v>
      </c>
      <c r="N10" s="8" t="s">
        <v>19</v>
      </c>
      <c r="O10" s="8" t="s">
        <v>19</v>
      </c>
      <c r="P10" s="8" t="s">
        <v>19</v>
      </c>
      <c r="Q10" s="2">
        <v>0.9</v>
      </c>
    </row>
    <row r="11" spans="1:17" ht="15.75" customHeight="1" x14ac:dyDescent="0.15">
      <c r="A11" s="9" t="s">
        <v>22</v>
      </c>
      <c r="B11" s="9" t="s">
        <v>23</v>
      </c>
      <c r="C11" s="9">
        <v>1.95</v>
      </c>
      <c r="D11" s="9">
        <v>1.23</v>
      </c>
      <c r="E11" s="9">
        <v>1.64</v>
      </c>
      <c r="F11" s="9">
        <v>2</v>
      </c>
      <c r="G11" s="10">
        <v>43560</v>
      </c>
      <c r="H11" s="11">
        <f>(57.404+55.715+56.001)/3</f>
        <v>56.373333333333335</v>
      </c>
      <c r="I11" s="10">
        <v>23979</v>
      </c>
      <c r="J11" s="11">
        <f>((327.5+323.2+320.6)+(324.9+322.1+322.1)+(320+319.8+319.7))/9</f>
        <v>322.21111111111111</v>
      </c>
      <c r="K11" s="12">
        <f t="shared" ref="K11:K13" si="10">F11*J11/1000</f>
        <v>0.64442222222222223</v>
      </c>
      <c r="L11" s="12">
        <f>((2.0985+2.0946+2.0808)+(2.0973+2.0988+2.1011)+(2.0677+2.0614+2.05))/9</f>
        <v>2.0833555555555554</v>
      </c>
      <c r="M11" s="13">
        <f t="shared" ref="M11:M13" si="11">((L11 / 1000)*9.81)</f>
        <v>2.0437718000000001E-2</v>
      </c>
      <c r="N11" s="13">
        <f t="shared" ref="N11:N13" si="12">M11/K11</f>
        <v>3.1714793958412361E-2</v>
      </c>
      <c r="O11" s="13">
        <f t="shared" ref="O11:O13" si="13">IF(L11-E11&gt;0,((L11-E11)/ 1000)*9.81,0)</f>
        <v>4.3493179999999996E-3</v>
      </c>
      <c r="P11" s="13">
        <f t="shared" ref="P11:P13" si="14">O11/K11</f>
        <v>6.7491744542915264E-3</v>
      </c>
      <c r="Q11" s="9">
        <v>0.9</v>
      </c>
    </row>
    <row r="12" spans="1:17" ht="15.75" customHeight="1" x14ac:dyDescent="0.15">
      <c r="A12" s="2" t="s">
        <v>22</v>
      </c>
      <c r="B12" s="2" t="s">
        <v>23</v>
      </c>
      <c r="C12" s="2">
        <v>1.95</v>
      </c>
      <c r="D12" s="2">
        <v>1.23</v>
      </c>
      <c r="E12" s="2">
        <v>1.64</v>
      </c>
      <c r="F12" s="2">
        <v>3</v>
      </c>
      <c r="G12" s="3">
        <v>61661</v>
      </c>
      <c r="H12" s="14">
        <f>(64.381+62.792+63.415)/3</f>
        <v>63.529333333333334</v>
      </c>
      <c r="I12" s="3">
        <v>26377</v>
      </c>
      <c r="J12" s="14">
        <f>((566+563.8+564.1)+(560+557.4+555.1)+(551.2+549.4+550))/9</f>
        <v>557.44444444444446</v>
      </c>
      <c r="K12" s="6">
        <f t="shared" si="10"/>
        <v>1.6723333333333334</v>
      </c>
      <c r="L12" s="6">
        <f>((3.8004+3.7936+3.7799)+(3.7884+3.7887+3.7767)+(3.6118+3.6007+3.5967))/9</f>
        <v>3.7263222222222225</v>
      </c>
      <c r="M12" s="8">
        <f t="shared" si="11"/>
        <v>3.6555221000000006E-2</v>
      </c>
      <c r="N12" s="8">
        <f t="shared" si="12"/>
        <v>2.1858812637034087E-2</v>
      </c>
      <c r="O12" s="8">
        <f t="shared" si="13"/>
        <v>2.0466821000000007E-2</v>
      </c>
      <c r="P12" s="8">
        <f t="shared" si="14"/>
        <v>1.2238481762009172E-2</v>
      </c>
      <c r="Q12" s="2">
        <v>0.9</v>
      </c>
    </row>
    <row r="13" spans="1:17" ht="15.75" customHeight="1" x14ac:dyDescent="0.15">
      <c r="A13" s="9" t="s">
        <v>22</v>
      </c>
      <c r="B13" s="9" t="s">
        <v>23</v>
      </c>
      <c r="C13" s="9">
        <v>1.95</v>
      </c>
      <c r="D13" s="9">
        <v>1.23</v>
      </c>
      <c r="E13" s="9">
        <v>1.64</v>
      </c>
      <c r="F13" s="9">
        <v>4</v>
      </c>
      <c r="G13" s="10">
        <v>79132</v>
      </c>
      <c r="H13" s="11">
        <f>(71.711+73.026+70.536)/3</f>
        <v>71.757666666666665</v>
      </c>
      <c r="I13" s="10">
        <v>37385</v>
      </c>
      <c r="J13" s="11">
        <f>((833.3+829.5+841.8)+(869.3+866.4+861.8)+(856.9+855.3+854.1))/9</f>
        <v>852.04444444444437</v>
      </c>
      <c r="K13" s="12">
        <f t="shared" si="10"/>
        <v>3.4081777777777775</v>
      </c>
      <c r="L13" s="12">
        <f>((5.6843+5.6624+5.6358)+(5.7824+5.7846+5.7566)+(5.7111+5.7106+5.7106))/9</f>
        <v>5.7153777777777783</v>
      </c>
      <c r="M13" s="13">
        <f t="shared" si="11"/>
        <v>5.6067856000000013E-2</v>
      </c>
      <c r="N13" s="13">
        <f t="shared" si="12"/>
        <v>1.6450977518126342E-2</v>
      </c>
      <c r="O13" s="13">
        <f t="shared" si="13"/>
        <v>3.997945600000001E-2</v>
      </c>
      <c r="P13" s="13">
        <f t="shared" si="14"/>
        <v>1.1730449115852071E-2</v>
      </c>
      <c r="Q13" s="9">
        <v>0.9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6"/>
  <sheetViews>
    <sheetView workbookViewId="0">
      <pane ySplit="1" topLeftCell="A2" activePane="bottomLeft" state="frozen"/>
      <selection pane="bottomLeft" activeCell="K11" sqref="K11"/>
    </sheetView>
  </sheetViews>
  <sheetFormatPr baseColWidth="10" defaultColWidth="12.6640625" defaultRowHeight="15.75" customHeight="1" x14ac:dyDescent="0.15"/>
  <cols>
    <col min="1" max="1" width="12.1640625" customWidth="1"/>
    <col min="2" max="2" width="15" hidden="1" customWidth="1"/>
    <col min="3" max="3" width="10.1640625" hidden="1" customWidth="1"/>
    <col min="4" max="4" width="9.1640625" customWidth="1"/>
    <col min="5" max="5" width="6.83203125" customWidth="1"/>
    <col min="6" max="6" width="11.1640625" customWidth="1"/>
    <col min="7" max="7" width="6" customWidth="1"/>
    <col min="8" max="8" width="7.1640625" customWidth="1"/>
    <col min="9" max="9" width="7.6640625" customWidth="1"/>
    <col min="10" max="10" width="8.83203125" customWidth="1"/>
    <col min="11" max="11" width="9" customWidth="1"/>
    <col min="12" max="12" width="14" customWidth="1"/>
  </cols>
  <sheetData>
    <row r="1" spans="1:13" ht="30" customHeight="1" x14ac:dyDescent="0.15">
      <c r="A1" s="1" t="s">
        <v>24</v>
      </c>
      <c r="B1" s="1" t="s">
        <v>25</v>
      </c>
      <c r="C1" s="1" t="s">
        <v>26</v>
      </c>
      <c r="D1" s="1" t="s">
        <v>27</v>
      </c>
      <c r="E1" s="1" t="s">
        <v>5</v>
      </c>
      <c r="F1" s="1" t="s">
        <v>28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29</v>
      </c>
      <c r="L1" s="1" t="s">
        <v>15</v>
      </c>
      <c r="M1" s="1" t="s">
        <v>16</v>
      </c>
    </row>
    <row r="2" spans="1:13" ht="30" customHeight="1" x14ac:dyDescent="0.15">
      <c r="A2" s="18" t="s">
        <v>30</v>
      </c>
      <c r="B2" s="2"/>
      <c r="C2" s="2"/>
      <c r="D2" s="8">
        <v>0.09</v>
      </c>
      <c r="E2" s="2">
        <v>194</v>
      </c>
      <c r="F2" s="8">
        <f t="shared" ref="F2:F6" si="0">G2/E2*1000</f>
        <v>0.59278350515463918</v>
      </c>
      <c r="G2" s="2">
        <v>0.115</v>
      </c>
      <c r="H2" s="8">
        <v>0.28999999999999998</v>
      </c>
      <c r="I2" s="19">
        <f>(Table_2[[#This Row],[Lift (grams)]]/1000)*9.81</f>
        <v>2.8449E-3</v>
      </c>
      <c r="J2" s="20">
        <f t="shared" ref="J2:J5" si="1">I2/G2</f>
        <v>2.4738260869565216E-2</v>
      </c>
      <c r="K2" s="20">
        <f t="shared" ref="K2:K5" si="2">IF(H2-D2&gt;0,((H2-D2)/ 1000)*9.81,0)</f>
        <v>1.9619999999999998E-3</v>
      </c>
      <c r="L2" s="20">
        <f t="shared" ref="L2:L6" si="3">K2/G2</f>
        <v>1.706086956521739E-2</v>
      </c>
      <c r="M2" s="2">
        <v>0.25</v>
      </c>
    </row>
    <row r="3" spans="1:13" ht="34" customHeight="1" x14ac:dyDescent="0.15">
      <c r="A3" s="9" t="s">
        <v>31</v>
      </c>
      <c r="B3" s="9"/>
      <c r="C3" s="9"/>
      <c r="D3" s="9">
        <v>0.14299999999999999</v>
      </c>
      <c r="E3" s="9">
        <v>250</v>
      </c>
      <c r="F3" s="13">
        <f t="shared" si="0"/>
        <v>0.91200000000000003</v>
      </c>
      <c r="G3" s="9">
        <v>0.22800000000000001</v>
      </c>
      <c r="H3" s="13">
        <v>0.503</v>
      </c>
      <c r="I3" s="21">
        <f t="shared" ref="I2:I6" si="4">((H3 / 1000)*9.81)</f>
        <v>4.9344300000000001E-3</v>
      </c>
      <c r="J3" s="22">
        <f t="shared" si="1"/>
        <v>2.1642236842105263E-2</v>
      </c>
      <c r="K3" s="22">
        <f t="shared" si="2"/>
        <v>3.5315999999999998E-3</v>
      </c>
      <c r="L3" s="22">
        <f t="shared" si="3"/>
        <v>1.5489473684210525E-2</v>
      </c>
      <c r="M3" s="9">
        <v>0.25</v>
      </c>
    </row>
    <row r="4" spans="1:13" ht="33" customHeight="1" x14ac:dyDescent="0.15">
      <c r="A4" s="24" t="s">
        <v>34</v>
      </c>
      <c r="B4" s="2"/>
      <c r="C4" s="2"/>
      <c r="D4" s="8">
        <v>0.21</v>
      </c>
      <c r="E4" s="2">
        <v>190</v>
      </c>
      <c r="F4" s="8">
        <f t="shared" si="0"/>
        <v>0.38421052631578945</v>
      </c>
      <c r="G4" s="8">
        <f>0.0365*2</f>
        <v>7.2999999999999995E-2</v>
      </c>
      <c r="H4" s="8">
        <v>0.32</v>
      </c>
      <c r="I4" s="19">
        <f t="shared" si="4"/>
        <v>3.1392000000000004E-3</v>
      </c>
      <c r="J4" s="20">
        <f t="shared" si="1"/>
        <v>4.3002739726027403E-2</v>
      </c>
      <c r="K4" s="20">
        <f t="shared" si="2"/>
        <v>1.0791000000000002E-3</v>
      </c>
      <c r="L4" s="20">
        <f t="shared" si="3"/>
        <v>1.4782191780821921E-2</v>
      </c>
      <c r="M4" s="2">
        <v>0.25</v>
      </c>
    </row>
    <row r="5" spans="1:13" ht="37" customHeight="1" x14ac:dyDescent="0.15">
      <c r="A5" s="23" t="s">
        <v>32</v>
      </c>
      <c r="B5" s="9"/>
      <c r="C5" s="9"/>
      <c r="D5" s="9">
        <v>1.3080000000000001</v>
      </c>
      <c r="E5" s="9">
        <v>140</v>
      </c>
      <c r="F5" s="13">
        <f t="shared" si="0"/>
        <v>3.9285714285714288</v>
      </c>
      <c r="G5" s="13">
        <v>0.55000000000000004</v>
      </c>
      <c r="H5" s="12">
        <f>D5*1.5</f>
        <v>1.9620000000000002</v>
      </c>
      <c r="I5" s="21">
        <f t="shared" si="4"/>
        <v>1.9247220000000002E-2</v>
      </c>
      <c r="J5" s="22">
        <f t="shared" si="1"/>
        <v>3.4994945454545456E-2</v>
      </c>
      <c r="K5" s="22">
        <f t="shared" si="2"/>
        <v>6.4157400000000022E-3</v>
      </c>
      <c r="L5" s="22">
        <f t="shared" si="3"/>
        <v>1.1664981818181821E-2</v>
      </c>
      <c r="M5" s="12">
        <v>0.8</v>
      </c>
    </row>
    <row r="6" spans="1:13" ht="33" customHeight="1" x14ac:dyDescent="0.15">
      <c r="A6" s="2" t="s">
        <v>33</v>
      </c>
      <c r="B6" s="2"/>
      <c r="C6" s="2"/>
      <c r="D6" s="8">
        <v>0.75</v>
      </c>
      <c r="E6" s="2">
        <v>1925</v>
      </c>
      <c r="F6" s="8">
        <f t="shared" si="0"/>
        <v>0.40646518375241775</v>
      </c>
      <c r="G6" s="8">
        <f>(0.75 / 1000 * 9.80665) / (0.0094)</f>
        <v>0.7824454787234042</v>
      </c>
      <c r="H6" s="2">
        <f>D6*2.2</f>
        <v>1.6500000000000001</v>
      </c>
      <c r="I6" s="19">
        <f t="shared" si="4"/>
        <v>1.6186500000000003E-2</v>
      </c>
      <c r="J6" s="20">
        <v>9.4000000000000004E-3</v>
      </c>
      <c r="K6" s="20">
        <v>4.0000000000000001E-3</v>
      </c>
      <c r="L6" s="20">
        <f t="shared" si="3"/>
        <v>5.1121772810626808E-3</v>
      </c>
      <c r="M6" s="2">
        <v>0.35</v>
      </c>
    </row>
  </sheetData>
  <hyperlinks>
    <hyperlink ref="A2" r:id="rId1" xr:uid="{00000000-0004-0000-0100-000000000000}"/>
    <hyperlink ref="A4" r:id="rId2" xr:uid="{00000000-0004-0000-0100-000001000000}"/>
    <hyperlink ref="A5" r:id="rId3" xr:uid="{00000000-0004-0000-0100-000002000000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Motor-Rotor</vt:lpstr>
      <vt:lpstr>Flapping-Wing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kylej23</cp:lastModifiedBy>
  <dcterms:created xsi:type="dcterms:W3CDTF">2026-07-10T16:30:07Z</dcterms:created>
  <dcterms:modified xsi:type="dcterms:W3CDTF">2026-07-10T16:33:53Z</dcterms:modified>
</cp:coreProperties>
</file>