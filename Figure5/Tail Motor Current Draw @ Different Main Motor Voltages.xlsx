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lesTest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tc={3e836718-9258-4356-8744-f7b6770e9171}</author>
    <author>tc={47729dac-4b15-41df-a494-dca8e41f20ac}</author>
    <author>tc={9ad181ee-4da5-47b6-9eb6-24510a4db9dc}</author>
    <author>tc={a5d0576c-df25-42c8-821f-348f08bca5ae}</author>
  </authors>
  <commentList>
    <comment authorId="0" xr:uid="{3e836718-9258-4356-8744-f7b6770e9171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35mm CF 15° 37.7mg
</t>
      </text>
    </comment>
    <comment authorId="1" xr:uid="{47729dac-4b15-41df-a494-dca8e41f20ac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20mm MicronWing
</t>
      </text>
    </comment>
    <comment authorId="2" xr:uid="{9ad181ee-4da5-47b6-9eb6-24510a4db9dc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35mm CF 15° 37.7mg
</t>
      </text>
    </comment>
    <comment authorId="3" xr:uid="{a5d0576c-df25-42c8-821f-348f08bca5ae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20mm MicronWing
</t>
      </text>
    </comment>
  </commentList>
</comments>
</file>

<file path=xl/sharedStrings.xml><?xml version="1.0" encoding="utf-8"?>
<sst xmlns="http://schemas.openxmlformats.org/spreadsheetml/2006/main" count="17" uniqueCount="11">
  <si>
    <t>Power Supply Voltage at Main Motor (V)</t>
  </si>
  <si>
    <t>Main Motor 4.6Ω 665mg - Voltage (V)</t>
  </si>
  <si>
    <t>Main Motor 4.6Ω 665mg - Current (mA)</t>
  </si>
  <si>
    <t>Main Motor Power (mW)</t>
  </si>
  <si>
    <t>Power Supply Voltage at Tail Motor (V)</t>
  </si>
  <si>
    <t>Tail Motor 13.5Ω 283mg - Voltage (V)</t>
  </si>
  <si>
    <t>Tail Motor 13.5Ω 283mg - Current (mA)</t>
  </si>
  <si>
    <t>Tail Motor Power (mW)</t>
  </si>
  <si>
    <t>Coin-Copter Veering (straight)</t>
  </si>
  <si>
    <t>Percentage of Power into Tail Motor (%)</t>
  </si>
  <si>
    <t>Straight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</si>
</sst>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ayat Yewondwossen" id="{eaae5ba5-a10a-4159-a979-6502b1774a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7-24T23:01:32.00" personId="{eaae5ba5-a10a-4159-a979-6502b1774ac0}" id="{a5d0576c-df25-42c8-821f-348f08bca5ae}" done="0">
    <x18tc:text xml:space="preserve">20mm MicronWing</x18tc:text>
  </x18tc:threadedComment>
  <x18tc:threadedComment ref="C1" dT="2025-07-24T23:01:14.00" personId="{eaae5ba5-a10a-4159-a979-6502b1774ac0}" id="{3e836718-9258-4356-8744-f7b6770e9171}" done="0">
    <x18tc:text xml:space="preserve">35mm CF 15° 37.7mg</x18tc:text>
  </x18tc:threadedComment>
  <x18tc:threadedComment ref="G1" dT="2025-07-24T23:01:51.00" personId="{eaae5ba5-a10a-4159-a979-6502b1774ac0}" id="{47729dac-4b15-41df-a494-dca8e41f20ac}" done="0">
    <x18tc:text xml:space="preserve">20mm MicronWing</x18tc:text>
  </x18tc:threadedComment>
  <x18tc:threadedComment ref="B1" dT="2025-07-24T23:00:57.00" personId="{eaae5ba5-a10a-4159-a979-6502b1774ac0}" id="{9ad181ee-4da5-47b6-9eb6-24510a4db9dc}" done="0">
    <x18tc:text xml:space="preserve">35mm CF 15° 37.7mg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1" max="1" width="12.63"/>
    <col hidden="1" min="5" max="5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>
      <c r="A2" s="3"/>
      <c r="B2" s="3">
        <v>1.0</v>
      </c>
      <c r="C2" s="3">
        <v>61.3</v>
      </c>
      <c r="D2" s="4">
        <f t="shared" ref="D2:D8" si="1">B2*C2</f>
        <v>61.3</v>
      </c>
      <c r="E2" s="4"/>
      <c r="F2" s="3">
        <v>0.8</v>
      </c>
      <c r="G2" s="4">
        <v>22.0</v>
      </c>
      <c r="H2" s="4">
        <f t="shared" ref="H2:H8" si="2">F2*G2</f>
        <v>17.6</v>
      </c>
      <c r="I2" s="3" t="s">
        <v>10</v>
      </c>
      <c r="J2" s="4">
        <f t="shared" ref="J2:J8" si="3">H2/(D2+H2)*100</f>
        <v>22.30671736</v>
      </c>
    </row>
    <row r="3">
      <c r="A3" s="3"/>
      <c r="B3" s="3">
        <v>2.0</v>
      </c>
      <c r="C3" s="3">
        <v>163.2</v>
      </c>
      <c r="D3" s="4">
        <f t="shared" si="1"/>
        <v>326.4</v>
      </c>
      <c r="E3" s="4"/>
      <c r="F3" s="3">
        <v>0.8</v>
      </c>
      <c r="G3" s="4">
        <v>22.0</v>
      </c>
      <c r="H3" s="4">
        <f t="shared" si="2"/>
        <v>17.6</v>
      </c>
      <c r="I3" s="3" t="s">
        <v>10</v>
      </c>
      <c r="J3" s="4">
        <f t="shared" si="3"/>
        <v>5.11627907</v>
      </c>
    </row>
    <row r="4">
      <c r="A4" s="3"/>
      <c r="B4" s="3">
        <v>2.5</v>
      </c>
      <c r="C4" s="3">
        <v>219.4</v>
      </c>
      <c r="D4" s="4">
        <f t="shared" si="1"/>
        <v>548.5</v>
      </c>
      <c r="E4" s="4"/>
      <c r="F4" s="3">
        <v>0.8</v>
      </c>
      <c r="G4" s="4">
        <v>22.0</v>
      </c>
      <c r="H4" s="4">
        <f t="shared" si="2"/>
        <v>17.6</v>
      </c>
      <c r="I4" s="3" t="s">
        <v>10</v>
      </c>
      <c r="J4" s="4">
        <f t="shared" si="3"/>
        <v>3.108991344</v>
      </c>
    </row>
    <row r="5">
      <c r="A5" s="3"/>
      <c r="B5" s="3">
        <v>3.0</v>
      </c>
      <c r="C5" s="3">
        <v>278.2</v>
      </c>
      <c r="D5" s="4">
        <f t="shared" si="1"/>
        <v>834.6</v>
      </c>
      <c r="E5" s="4"/>
      <c r="F5" s="3">
        <v>0.9</v>
      </c>
      <c r="G5" s="4">
        <v>24.0</v>
      </c>
      <c r="H5" s="4">
        <f t="shared" si="2"/>
        <v>21.6</v>
      </c>
      <c r="I5" s="3" t="s">
        <v>10</v>
      </c>
      <c r="J5" s="4">
        <f t="shared" si="3"/>
        <v>2.522775053</v>
      </c>
    </row>
    <row r="6">
      <c r="A6" s="3"/>
      <c r="B6" s="3">
        <v>3.5</v>
      </c>
      <c r="C6" s="3">
        <v>330.1</v>
      </c>
      <c r="D6" s="4">
        <f t="shared" si="1"/>
        <v>1155.35</v>
      </c>
      <c r="E6" s="4"/>
      <c r="F6" s="3">
        <v>0.9</v>
      </c>
      <c r="G6" s="4">
        <v>24.0</v>
      </c>
      <c r="H6" s="4">
        <f t="shared" si="2"/>
        <v>21.6</v>
      </c>
      <c r="I6" s="3" t="s">
        <v>10</v>
      </c>
      <c r="J6" s="4">
        <f t="shared" si="3"/>
        <v>1.835252135</v>
      </c>
    </row>
    <row r="7">
      <c r="A7" s="3"/>
      <c r="B7" s="3">
        <v>4.0</v>
      </c>
      <c r="C7" s="3">
        <v>392.6</v>
      </c>
      <c r="D7" s="4">
        <f t="shared" si="1"/>
        <v>1570.4</v>
      </c>
      <c r="E7" s="4"/>
      <c r="F7" s="3">
        <v>1.0</v>
      </c>
      <c r="G7" s="4">
        <v>26.0</v>
      </c>
      <c r="H7" s="4">
        <f t="shared" si="2"/>
        <v>26</v>
      </c>
      <c r="I7" s="3" t="s">
        <v>10</v>
      </c>
      <c r="J7" s="4">
        <f t="shared" si="3"/>
        <v>1.628664495</v>
      </c>
    </row>
    <row r="8">
      <c r="A8" s="3"/>
      <c r="B8" s="3">
        <v>4.5</v>
      </c>
      <c r="C8" s="3">
        <v>440.3</v>
      </c>
      <c r="D8" s="4">
        <f t="shared" si="1"/>
        <v>1981.35</v>
      </c>
      <c r="E8" s="4"/>
      <c r="F8" s="3">
        <v>1.1</v>
      </c>
      <c r="G8" s="4">
        <v>28.0</v>
      </c>
      <c r="H8" s="4">
        <f t="shared" si="2"/>
        <v>30.8</v>
      </c>
      <c r="I8" s="3" t="s">
        <v>10</v>
      </c>
      <c r="J8" s="4">
        <f t="shared" si="3"/>
        <v>1.530700991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