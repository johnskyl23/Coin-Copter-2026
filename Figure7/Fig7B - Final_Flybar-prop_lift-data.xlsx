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7B" sheetId="1" r:id="rId5"/>
  </sheets>
  <definedNames/>
  <calcPr/>
</workbook>
</file>

<file path=xl/sharedStrings.xml><?xml version="1.0" encoding="utf-8"?>
<sst xmlns="http://schemas.openxmlformats.org/spreadsheetml/2006/main" count="146" uniqueCount="22">
  <si>
    <t>Design Name</t>
  </si>
  <si>
    <t>Motor Voltage (V)</t>
  </si>
  <si>
    <t>Motor Current (mA)</t>
  </si>
  <si>
    <t>Power (W)</t>
  </si>
  <si>
    <t>Lift (grams)</t>
  </si>
  <si>
    <t>Average Power (W)</t>
  </si>
  <si>
    <t>Average Lift (grams)</t>
  </si>
  <si>
    <t>Average Thrust (N)</t>
  </si>
  <si>
    <t>Average Efficiency (N/W)</t>
  </si>
  <si>
    <t>Prop Fluxture Angle (°)</t>
  </si>
  <si>
    <t>Trailing Prop Width (mm)</t>
  </si>
  <si>
    <t>Flexure Length</t>
  </si>
  <si>
    <t>Swashplate</t>
  </si>
  <si>
    <t>Leading Edge Curve (mm)</t>
  </si>
  <si>
    <t>CF Layup Thickness (mm)</t>
  </si>
  <si>
    <t>Notes</t>
  </si>
  <si>
    <t>Sub-gram</t>
  </si>
  <si>
    <t>Long</t>
  </si>
  <si>
    <t>Sharp</t>
  </si>
  <si>
    <t>prototype/test 1</t>
  </si>
  <si>
    <t>Gram-scale</t>
  </si>
  <si>
    <t>Multi-gram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</si>
</sst>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00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2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1" fillId="2" fontId="1" numFmtId="166" xfId="0" applyAlignment="1" applyBorder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2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2" fillId="0" fontId="1" numFmtId="165" xfId="0" applyAlignment="1" applyBorder="1" applyFont="1" applyNumberFormat="1">
      <alignment horizontal="center" shrinkToFit="0" vertical="center" wrapText="1"/>
    </xf>
    <xf borderId="2" fillId="0" fontId="1" numFmtId="166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3" fillId="3" fontId="1" numFmtId="164" xfId="0" applyAlignment="1" applyBorder="1" applyFill="1" applyFont="1" applyNumberFormat="1">
      <alignment horizontal="center" readingOrder="0" shrinkToFit="0" vertical="center" wrapText="1"/>
    </xf>
    <xf borderId="3" fillId="3" fontId="1" numFmtId="165" xfId="0" applyAlignment="1" applyBorder="1" applyFont="1" applyNumberFormat="1">
      <alignment horizontal="center" readingOrder="0" shrinkToFit="0" vertical="center" wrapText="1"/>
    </xf>
    <xf borderId="2" fillId="0" fontId="1" numFmtId="2" xfId="0" applyAlignment="1" applyBorder="1" applyFont="1" applyNumberForma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3" fontId="1" numFmtId="2" xfId="0" applyAlignment="1" applyBorder="1" applyFont="1" applyNumberFormat="1">
      <alignment horizontal="center" readingOrder="0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4" fillId="0" fontId="3" numFmtId="0" xfId="0" applyBorder="1" applyFont="1"/>
    <xf borderId="3" fillId="0" fontId="3" numFmtId="0" xfId="0" applyBorder="1" applyFont="1"/>
    <xf borderId="1" fillId="3" fontId="1" numFmtId="166" xfId="0" applyAlignment="1" applyBorder="1" applyFont="1" applyNumberFormat="1">
      <alignment horizontal="center" readingOrder="0" shrinkToFit="0" vertical="center" wrapText="1"/>
    </xf>
    <xf borderId="2" fillId="0" fontId="1" numFmtId="166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0" fillId="0" fontId="2" numFmtId="164" xfId="0" applyFont="1" applyNumberFormat="1"/>
    <xf borderId="0" fillId="0" fontId="2" numFmtId="2" xfId="0" applyFont="1" applyNumberFormat="1"/>
    <xf borderId="0" fillId="0" fontId="2" numFmtId="165" xfId="0" applyFont="1" applyNumberFormat="1"/>
    <xf borderId="1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2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3" fontId="1" numFmtId="166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3" fontId="1" numFmtId="165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25"/>
    <col customWidth="1" min="3" max="3" width="11.75"/>
    <col customWidth="1" min="5" max="5" width="7.5"/>
    <col customWidth="1" min="6" max="6" width="2.63"/>
    <col customWidth="1" min="9" max="10" width="13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6" t="s">
        <v>5</v>
      </c>
      <c r="H1" s="6" t="s">
        <v>6</v>
      </c>
      <c r="I1" s="6" t="s">
        <v>7</v>
      </c>
      <c r="J1" s="6" t="s">
        <v>8</v>
      </c>
      <c r="K1" s="2" t="s">
        <v>9</v>
      </c>
      <c r="L1" s="7" t="s">
        <v>10</v>
      </c>
      <c r="M1" s="1" t="s">
        <v>11</v>
      </c>
      <c r="N1" s="1" t="s">
        <v>12</v>
      </c>
      <c r="O1" s="6" t="s">
        <v>13</v>
      </c>
      <c r="P1" s="6" t="s">
        <v>14</v>
      </c>
      <c r="Q1" s="7" t="s">
        <v>15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9" t="s">
        <v>16</v>
      </c>
      <c r="B2" s="10">
        <v>6.0</v>
      </c>
      <c r="C2" s="11">
        <f>(257.04+249.84+245.87)/3</f>
        <v>250.9166667</v>
      </c>
      <c r="D2" s="12">
        <f t="shared" ref="D2:D16" si="2">(B2*C2)/1000</f>
        <v>1.5055</v>
      </c>
      <c r="E2" s="13">
        <f>(1.0193+1.0113+0.9966)/3</f>
        <v>1.009066667</v>
      </c>
      <c r="F2" s="14"/>
      <c r="G2" s="15">
        <f t="shared" ref="G2:H2" si="1">AVERAGE(D2:D4)</f>
        <v>1.541046667</v>
      </c>
      <c r="H2" s="15">
        <f t="shared" si="1"/>
        <v>0.9964555556</v>
      </c>
      <c r="I2" s="16">
        <f>((H2 / 1000)*9.81)</f>
        <v>0.009775229</v>
      </c>
      <c r="J2" s="15">
        <f>I2/G2</f>
        <v>0.006343240092</v>
      </c>
      <c r="K2" s="10">
        <v>20.0</v>
      </c>
      <c r="L2" s="17">
        <v>3.55</v>
      </c>
      <c r="M2" s="18" t="s">
        <v>17</v>
      </c>
      <c r="N2" s="18" t="s">
        <v>18</v>
      </c>
      <c r="O2" s="19">
        <v>0.0</v>
      </c>
      <c r="P2" s="20">
        <v>0.073</v>
      </c>
      <c r="Q2" s="21" t="s">
        <v>19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9" t="s">
        <v>16</v>
      </c>
      <c r="B3" s="22">
        <v>6.0</v>
      </c>
      <c r="C3" s="23">
        <f>(258.89+262.08+254.83)/3</f>
        <v>258.6</v>
      </c>
      <c r="D3" s="12">
        <f t="shared" si="2"/>
        <v>1.5516</v>
      </c>
      <c r="E3" s="24">
        <f>(0.99+0.9632+0.9915)/3</f>
        <v>0.9815666667</v>
      </c>
      <c r="F3" s="14"/>
      <c r="G3" s="25"/>
      <c r="H3" s="25"/>
      <c r="I3" s="16">
        <f t="shared" ref="I3:I4" si="3">I2</f>
        <v>0.009775229</v>
      </c>
      <c r="J3" s="25"/>
      <c r="K3" s="10">
        <v>20.0</v>
      </c>
      <c r="L3" s="17">
        <v>3.55</v>
      </c>
      <c r="M3" s="18" t="s">
        <v>17</v>
      </c>
      <c r="N3" s="18" t="s">
        <v>18</v>
      </c>
      <c r="O3" s="19">
        <v>0.0</v>
      </c>
      <c r="P3" s="20">
        <v>0.073</v>
      </c>
      <c r="Q3" s="25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9" t="s">
        <v>16</v>
      </c>
      <c r="B4" s="22">
        <v>6.0</v>
      </c>
      <c r="C4" s="23">
        <f>(267.32+259.58+256.12)/3</f>
        <v>261.0066667</v>
      </c>
      <c r="D4" s="12">
        <f t="shared" si="2"/>
        <v>1.56604</v>
      </c>
      <c r="E4" s="24">
        <f>(1.021+0.9981+0.9771)/3</f>
        <v>0.9987333333</v>
      </c>
      <c r="F4" s="14"/>
      <c r="G4" s="26"/>
      <c r="H4" s="26"/>
      <c r="I4" s="16">
        <f t="shared" si="3"/>
        <v>0.009775229</v>
      </c>
      <c r="J4" s="26"/>
      <c r="K4" s="10">
        <v>20.0</v>
      </c>
      <c r="L4" s="17">
        <v>3.55</v>
      </c>
      <c r="M4" s="18" t="s">
        <v>17</v>
      </c>
      <c r="N4" s="18" t="s">
        <v>18</v>
      </c>
      <c r="O4" s="19">
        <v>0.0</v>
      </c>
      <c r="P4" s="20">
        <v>0.073</v>
      </c>
      <c r="Q4" s="26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9" t="s">
        <v>16</v>
      </c>
      <c r="B5" s="14">
        <v>5.0</v>
      </c>
      <c r="C5" s="11">
        <f>(221.58+217.25+214.56)/3</f>
        <v>217.7966667</v>
      </c>
      <c r="D5" s="12">
        <f t="shared" si="2"/>
        <v>1.088983333</v>
      </c>
      <c r="E5" s="13">
        <f>(0.7982+0.7849+0.7581)/3</f>
        <v>0.7804</v>
      </c>
      <c r="F5" s="14"/>
      <c r="G5" s="15">
        <f t="shared" ref="G5:H5" si="4">AVERAGE(D5:D7)</f>
        <v>1.104833333</v>
      </c>
      <c r="H5" s="15">
        <f t="shared" si="4"/>
        <v>0.7981111111</v>
      </c>
      <c r="I5" s="16">
        <f>((H5 / 1000)*9.81)</f>
        <v>0.00782947</v>
      </c>
      <c r="J5" s="15">
        <f>I5/G5</f>
        <v>0.007086562076</v>
      </c>
      <c r="K5" s="10">
        <v>20.0</v>
      </c>
      <c r="L5" s="17">
        <v>3.55</v>
      </c>
      <c r="M5" s="18" t="s">
        <v>17</v>
      </c>
      <c r="N5" s="18" t="s">
        <v>18</v>
      </c>
      <c r="O5" s="19">
        <v>0.0</v>
      </c>
      <c r="P5" s="20">
        <v>0.073</v>
      </c>
      <c r="Q5" s="21" t="s">
        <v>19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9" t="s">
        <v>16</v>
      </c>
      <c r="B6" s="22">
        <v>5.0</v>
      </c>
      <c r="C6" s="23">
        <f>(226.11+222.27+220.03)/3</f>
        <v>222.8033333</v>
      </c>
      <c r="D6" s="12">
        <f t="shared" si="2"/>
        <v>1.114016667</v>
      </c>
      <c r="E6" s="24">
        <f>(0.826+0.8112+0.7974)/3</f>
        <v>0.8115333333</v>
      </c>
      <c r="F6" s="14"/>
      <c r="G6" s="25"/>
      <c r="H6" s="25"/>
      <c r="I6" s="16">
        <f t="shared" ref="I6:I7" si="5">I5</f>
        <v>0.00782947</v>
      </c>
      <c r="J6" s="25"/>
      <c r="K6" s="10">
        <v>20.0</v>
      </c>
      <c r="L6" s="17">
        <v>3.55</v>
      </c>
      <c r="M6" s="18" t="s">
        <v>17</v>
      </c>
      <c r="N6" s="18" t="s">
        <v>18</v>
      </c>
      <c r="O6" s="19">
        <v>0.0</v>
      </c>
      <c r="P6" s="20">
        <v>0.073</v>
      </c>
      <c r="Q6" s="25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9" t="s">
        <v>16</v>
      </c>
      <c r="B7" s="22">
        <v>5.0</v>
      </c>
      <c r="C7" s="23">
        <f>(225.06+221.62+220.22)/3</f>
        <v>222.3</v>
      </c>
      <c r="D7" s="12">
        <f t="shared" si="2"/>
        <v>1.1115</v>
      </c>
      <c r="E7" s="24">
        <f>(0.8044+0.8081+0.7947)/3</f>
        <v>0.8024</v>
      </c>
      <c r="F7" s="14"/>
      <c r="G7" s="26"/>
      <c r="H7" s="26"/>
      <c r="I7" s="16">
        <f t="shared" si="5"/>
        <v>0.00782947</v>
      </c>
      <c r="J7" s="26"/>
      <c r="K7" s="10">
        <v>20.0</v>
      </c>
      <c r="L7" s="17">
        <v>3.55</v>
      </c>
      <c r="M7" s="18" t="s">
        <v>17</v>
      </c>
      <c r="N7" s="18" t="s">
        <v>18</v>
      </c>
      <c r="O7" s="19">
        <v>0.0</v>
      </c>
      <c r="P7" s="20">
        <v>0.073</v>
      </c>
      <c r="Q7" s="26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9" t="s">
        <v>16</v>
      </c>
      <c r="B8" s="10">
        <v>4.0</v>
      </c>
      <c r="C8" s="17">
        <f>(180.14+176.46+174.87)/3</f>
        <v>177.1566667</v>
      </c>
      <c r="D8" s="12">
        <f t="shared" si="2"/>
        <v>0.7086266667</v>
      </c>
      <c r="E8" s="27">
        <f>(0.6384+0.6306+0.6207)/3</f>
        <v>0.6299</v>
      </c>
      <c r="F8" s="14"/>
      <c r="G8" s="15">
        <f t="shared" ref="G8:H8" si="6">AVERAGE(D8:D10)</f>
        <v>0.6959022222</v>
      </c>
      <c r="H8" s="15">
        <f t="shared" si="6"/>
        <v>0.6067222222</v>
      </c>
      <c r="I8" s="16">
        <f>((H8 / 1000)*9.81)</f>
        <v>0.005951945</v>
      </c>
      <c r="J8" s="15">
        <f>I8/G8</f>
        <v>0.008552846664</v>
      </c>
      <c r="K8" s="10">
        <v>20.0</v>
      </c>
      <c r="L8" s="17">
        <v>3.55</v>
      </c>
      <c r="M8" s="18" t="s">
        <v>17</v>
      </c>
      <c r="N8" s="18" t="s">
        <v>18</v>
      </c>
      <c r="O8" s="19">
        <v>0.0</v>
      </c>
      <c r="P8" s="20">
        <v>0.073</v>
      </c>
      <c r="Q8" s="21" t="s">
        <v>19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9" t="s">
        <v>16</v>
      </c>
      <c r="B9" s="10">
        <v>4.0</v>
      </c>
      <c r="C9" s="17">
        <f>(176.12+173.87+172.05)/3</f>
        <v>174.0133333</v>
      </c>
      <c r="D9" s="12">
        <f t="shared" si="2"/>
        <v>0.6960533333</v>
      </c>
      <c r="E9" s="27">
        <f>(0.6034+0.5922+0.5851)/3</f>
        <v>0.5935666667</v>
      </c>
      <c r="F9" s="14"/>
      <c r="G9" s="25"/>
      <c r="H9" s="25"/>
      <c r="I9" s="16">
        <f t="shared" ref="I9:I10" si="7">I8</f>
        <v>0.005951945</v>
      </c>
      <c r="J9" s="25"/>
      <c r="K9" s="10">
        <v>20.0</v>
      </c>
      <c r="L9" s="17">
        <v>3.55</v>
      </c>
      <c r="M9" s="18" t="s">
        <v>17</v>
      </c>
      <c r="N9" s="18" t="s">
        <v>18</v>
      </c>
      <c r="O9" s="19">
        <v>0.0</v>
      </c>
      <c r="P9" s="20">
        <v>0.073</v>
      </c>
      <c r="Q9" s="2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9" t="s">
        <v>16</v>
      </c>
      <c r="B10" s="10">
        <v>4.0</v>
      </c>
      <c r="C10" s="17">
        <f>(172.77+170.87+168.63)/3</f>
        <v>170.7566667</v>
      </c>
      <c r="D10" s="12">
        <f t="shared" si="2"/>
        <v>0.6830266667</v>
      </c>
      <c r="E10" s="27">
        <f>(0.6018+0.5976+0.5907)/3</f>
        <v>0.5967</v>
      </c>
      <c r="F10" s="14"/>
      <c r="G10" s="26"/>
      <c r="H10" s="26"/>
      <c r="I10" s="16">
        <f t="shared" si="7"/>
        <v>0.005951945</v>
      </c>
      <c r="J10" s="26"/>
      <c r="K10" s="10">
        <v>20.0</v>
      </c>
      <c r="L10" s="17">
        <v>3.55</v>
      </c>
      <c r="M10" s="18" t="s">
        <v>17</v>
      </c>
      <c r="N10" s="18" t="s">
        <v>18</v>
      </c>
      <c r="O10" s="19">
        <v>0.0</v>
      </c>
      <c r="P10" s="20">
        <v>0.073</v>
      </c>
      <c r="Q10" s="26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9" t="s">
        <v>16</v>
      </c>
      <c r="B11" s="10">
        <v>3.0</v>
      </c>
      <c r="C11" s="17">
        <f>(138.81+137.78+136.63)/3</f>
        <v>137.74</v>
      </c>
      <c r="D11" s="12">
        <f t="shared" si="2"/>
        <v>0.41322</v>
      </c>
      <c r="E11" s="28">
        <f>(0.4636+0.4591+0.4494)/3</f>
        <v>0.4573666667</v>
      </c>
      <c r="F11" s="14"/>
      <c r="G11" s="15">
        <f t="shared" ref="G11:H11" si="8">AVERAGE(D11:D13)</f>
        <v>0.4042366667</v>
      </c>
      <c r="H11" s="15">
        <f t="shared" si="8"/>
        <v>0.4582666667</v>
      </c>
      <c r="I11" s="16">
        <f>((H11 / 1000)*9.81)</f>
        <v>0.004495596</v>
      </c>
      <c r="J11" s="15">
        <f>I11/G11</f>
        <v>0.01112119798</v>
      </c>
      <c r="K11" s="10">
        <v>20.0</v>
      </c>
      <c r="L11" s="17">
        <v>3.55</v>
      </c>
      <c r="M11" s="18" t="s">
        <v>17</v>
      </c>
      <c r="N11" s="18" t="s">
        <v>18</v>
      </c>
      <c r="O11" s="19">
        <v>0.0</v>
      </c>
      <c r="P11" s="20">
        <v>0.073</v>
      </c>
      <c r="Q11" s="21" t="s">
        <v>19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9" t="s">
        <v>16</v>
      </c>
      <c r="B12" s="10">
        <v>3.0</v>
      </c>
      <c r="C12" s="17">
        <f>(132.6+133.18+134.01)/3</f>
        <v>133.2633333</v>
      </c>
      <c r="D12" s="12">
        <f t="shared" si="2"/>
        <v>0.39979</v>
      </c>
      <c r="E12" s="28">
        <f>(0.4694+0.4676+0.4623)/3</f>
        <v>0.4664333333</v>
      </c>
      <c r="F12" s="14"/>
      <c r="G12" s="25"/>
      <c r="H12" s="25"/>
      <c r="I12" s="16">
        <f t="shared" ref="I12:I13" si="9">I11</f>
        <v>0.004495596</v>
      </c>
      <c r="J12" s="25"/>
      <c r="K12" s="10">
        <v>20.0</v>
      </c>
      <c r="L12" s="17">
        <v>3.55</v>
      </c>
      <c r="M12" s="18" t="s">
        <v>17</v>
      </c>
      <c r="N12" s="18" t="s">
        <v>18</v>
      </c>
      <c r="O12" s="19">
        <v>0.0</v>
      </c>
      <c r="P12" s="20">
        <v>0.073</v>
      </c>
      <c r="Q12" s="25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9" t="s">
        <v>16</v>
      </c>
      <c r="B13" s="10">
        <v>3.0</v>
      </c>
      <c r="C13" s="17">
        <f>(134.01+133.27+132.42)/3</f>
        <v>133.2333333</v>
      </c>
      <c r="D13" s="12">
        <f t="shared" si="2"/>
        <v>0.3997</v>
      </c>
      <c r="E13" s="28">
        <f>(0.4596+0.4456+0.4478)/3</f>
        <v>0.451</v>
      </c>
      <c r="F13" s="14"/>
      <c r="G13" s="26"/>
      <c r="H13" s="26"/>
      <c r="I13" s="16">
        <f t="shared" si="9"/>
        <v>0.004495596</v>
      </c>
      <c r="J13" s="26"/>
      <c r="K13" s="10">
        <v>20.0</v>
      </c>
      <c r="L13" s="17">
        <v>3.55</v>
      </c>
      <c r="M13" s="18" t="s">
        <v>17</v>
      </c>
      <c r="N13" s="18" t="s">
        <v>18</v>
      </c>
      <c r="O13" s="19">
        <v>0.0</v>
      </c>
      <c r="P13" s="20">
        <v>0.073</v>
      </c>
      <c r="Q13" s="26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9" t="s">
        <v>16</v>
      </c>
      <c r="B14" s="29">
        <v>2.0</v>
      </c>
      <c r="C14" s="30">
        <f>(99.409+99.423+99.443)/3 </f>
        <v>99.425</v>
      </c>
      <c r="D14" s="12">
        <f t="shared" si="2"/>
        <v>0.19885</v>
      </c>
      <c r="E14" s="24">
        <f>(0.315+0.3136+0.3128)/3</f>
        <v>0.3138</v>
      </c>
      <c r="F14" s="31"/>
      <c r="G14" s="15">
        <f t="shared" ref="G14:H14" si="10">AVERAGE(D14:D16)</f>
        <v>0.1989293333</v>
      </c>
      <c r="H14" s="15">
        <f t="shared" si="10"/>
        <v>0.2938111111</v>
      </c>
      <c r="I14" s="16">
        <f>((H14 / 1000)*9.81)</f>
        <v>0.002882287</v>
      </c>
      <c r="J14" s="15">
        <f>I14/G14</f>
        <v>0.01448899944</v>
      </c>
      <c r="K14" s="10">
        <v>20.0</v>
      </c>
      <c r="L14" s="17">
        <v>3.55</v>
      </c>
      <c r="M14" s="18" t="s">
        <v>17</v>
      </c>
      <c r="N14" s="18" t="s">
        <v>18</v>
      </c>
      <c r="O14" s="19">
        <v>0.0</v>
      </c>
      <c r="P14" s="20">
        <v>0.073</v>
      </c>
      <c r="Q14" s="21" t="s">
        <v>19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9" t="s">
        <v>16</v>
      </c>
      <c r="B15" s="29">
        <v>2.0</v>
      </c>
      <c r="C15" s="30">
        <f>(99.458+99.468+99.469)/3</f>
        <v>99.465</v>
      </c>
      <c r="D15" s="12">
        <f t="shared" si="2"/>
        <v>0.19893</v>
      </c>
      <c r="E15" s="24">
        <f>(0.2894+0.2875+0.2849)/3</f>
        <v>0.2872666667</v>
      </c>
      <c r="F15" s="31"/>
      <c r="G15" s="25"/>
      <c r="H15" s="25"/>
      <c r="I15" s="16">
        <f t="shared" ref="I15:I16" si="11">I14</f>
        <v>0.002882287</v>
      </c>
      <c r="J15" s="25"/>
      <c r="K15" s="10">
        <v>20.0</v>
      </c>
      <c r="L15" s="17">
        <v>3.55</v>
      </c>
      <c r="M15" s="18" t="s">
        <v>17</v>
      </c>
      <c r="N15" s="18" t="s">
        <v>18</v>
      </c>
      <c r="O15" s="19">
        <v>0.0</v>
      </c>
      <c r="P15" s="20">
        <v>0.073</v>
      </c>
      <c r="Q15" s="25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9" t="s">
        <v>16</v>
      </c>
      <c r="B16" s="29">
        <v>2.0</v>
      </c>
      <c r="C16" s="30">
        <f>(99.549+99.473+99.49)/3</f>
        <v>99.504</v>
      </c>
      <c r="D16" s="12">
        <f t="shared" si="2"/>
        <v>0.199008</v>
      </c>
      <c r="E16" s="24">
        <f>(0.281+0.2798+0.2803)/3</f>
        <v>0.2803666667</v>
      </c>
      <c r="F16" s="31"/>
      <c r="G16" s="26"/>
      <c r="H16" s="26"/>
      <c r="I16" s="16">
        <f t="shared" si="11"/>
        <v>0.002882287</v>
      </c>
      <c r="J16" s="26"/>
      <c r="K16" s="10">
        <v>20.0</v>
      </c>
      <c r="L16" s="17">
        <v>3.55</v>
      </c>
      <c r="M16" s="18" t="s">
        <v>17</v>
      </c>
      <c r="N16" s="18" t="s">
        <v>18</v>
      </c>
      <c r="O16" s="19">
        <v>0.0</v>
      </c>
      <c r="P16" s="20">
        <v>0.073</v>
      </c>
      <c r="Q16" s="26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9"/>
      <c r="B17" s="29"/>
      <c r="C17" s="30"/>
      <c r="D17" s="32"/>
      <c r="E17" s="27"/>
      <c r="F17" s="31"/>
      <c r="G17" s="32"/>
      <c r="H17" s="12"/>
      <c r="I17" s="33"/>
      <c r="J17" s="31"/>
      <c r="K17" s="31"/>
      <c r="L17" s="31"/>
      <c r="M17" s="31"/>
      <c r="N17" s="31"/>
      <c r="O17" s="31"/>
      <c r="P17" s="31"/>
      <c r="Q17" s="2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9" t="s">
        <v>20</v>
      </c>
      <c r="B18" s="14">
        <v>5.0</v>
      </c>
      <c r="C18" s="34">
        <f>(623+615.7+609.7)/3</f>
        <v>616.1333333</v>
      </c>
      <c r="D18" s="12">
        <f t="shared" ref="D18:D29" si="13">(B18*C18)/1000</f>
        <v>3.080666667</v>
      </c>
      <c r="E18" s="23">
        <f>(4.2263+4.1467+4.0802)/3</f>
        <v>4.151066667</v>
      </c>
      <c r="F18" s="31"/>
      <c r="G18" s="15">
        <f t="shared" ref="G18:H18" si="12">AVERAGE(D18:D20)</f>
        <v>3.1035</v>
      </c>
      <c r="H18" s="15">
        <f t="shared" si="12"/>
        <v>4.2044</v>
      </c>
      <c r="I18" s="16">
        <f>((H18 / 1000)*9.81)</f>
        <v>0.041245164</v>
      </c>
      <c r="J18" s="15">
        <f>I18/G18</f>
        <v>0.0132898869</v>
      </c>
      <c r="K18" s="10">
        <v>20.0</v>
      </c>
      <c r="L18" s="17">
        <v>3.55</v>
      </c>
      <c r="M18" s="18" t="s">
        <v>17</v>
      </c>
      <c r="N18" s="18" t="s">
        <v>18</v>
      </c>
      <c r="O18" s="19">
        <v>0.0</v>
      </c>
      <c r="P18" s="20">
        <v>0.073</v>
      </c>
      <c r="Q18" s="28" t="s">
        <v>19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9" t="s">
        <v>20</v>
      </c>
      <c r="B19" s="10">
        <v>5.0</v>
      </c>
      <c r="C19" s="17">
        <f>(628.4+621.8+613.7)/3</f>
        <v>621.3</v>
      </c>
      <c r="D19" s="12">
        <f t="shared" si="13"/>
        <v>3.1065</v>
      </c>
      <c r="E19" s="23">
        <f>(4.2859+4.2112+4.1418)/3</f>
        <v>4.212966667</v>
      </c>
      <c r="F19" s="31"/>
      <c r="G19" s="25"/>
      <c r="H19" s="25"/>
      <c r="I19" s="16">
        <f t="shared" ref="I19:I20" si="14">I18</f>
        <v>0.041245164</v>
      </c>
      <c r="J19" s="25"/>
      <c r="K19" s="10">
        <v>20.0</v>
      </c>
      <c r="L19" s="17">
        <v>3.55</v>
      </c>
      <c r="M19" s="18" t="s">
        <v>17</v>
      </c>
      <c r="N19" s="18" t="s">
        <v>18</v>
      </c>
      <c r="O19" s="19">
        <v>0.0</v>
      </c>
      <c r="P19" s="20">
        <v>0.073</v>
      </c>
      <c r="Q19" s="25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9" t="s">
        <v>20</v>
      </c>
      <c r="B20" s="10">
        <v>5.0</v>
      </c>
      <c r="C20" s="17">
        <f>(613.6+630.8+629.6)/3</f>
        <v>624.6666667</v>
      </c>
      <c r="D20" s="12">
        <f t="shared" si="13"/>
        <v>3.123333333</v>
      </c>
      <c r="E20" s="23">
        <f>(4.3287+4.2364+4.1824)/3</f>
        <v>4.249166667</v>
      </c>
      <c r="F20" s="31"/>
      <c r="G20" s="26"/>
      <c r="H20" s="26"/>
      <c r="I20" s="16">
        <f t="shared" si="14"/>
        <v>0.041245164</v>
      </c>
      <c r="J20" s="26"/>
      <c r="K20" s="10">
        <v>20.0</v>
      </c>
      <c r="L20" s="17">
        <v>3.55</v>
      </c>
      <c r="M20" s="18" t="s">
        <v>17</v>
      </c>
      <c r="N20" s="18" t="s">
        <v>18</v>
      </c>
      <c r="O20" s="19">
        <v>0.0</v>
      </c>
      <c r="P20" s="20">
        <v>0.073</v>
      </c>
      <c r="Q20" s="26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9" t="s">
        <v>20</v>
      </c>
      <c r="B21" s="35">
        <v>4.0</v>
      </c>
      <c r="C21" s="11">
        <f>(488.8+487.6+482)/3</f>
        <v>486.1333333</v>
      </c>
      <c r="D21" s="12">
        <f t="shared" si="13"/>
        <v>1.944533333</v>
      </c>
      <c r="E21" s="11">
        <f>(3.1901+3.1509+3.1148)/3</f>
        <v>3.151933333</v>
      </c>
      <c r="F21" s="31"/>
      <c r="G21" s="15">
        <f t="shared" ref="G21:H21" si="15">AVERAGE(D21:D23)</f>
        <v>1.968844444</v>
      </c>
      <c r="H21" s="15">
        <f t="shared" si="15"/>
        <v>3.205288889</v>
      </c>
      <c r="I21" s="16">
        <f>((H21 / 1000)*9.81)</f>
        <v>0.031443884</v>
      </c>
      <c r="J21" s="15">
        <f>I21/G21</f>
        <v>0.01597073049</v>
      </c>
      <c r="K21" s="10">
        <v>20.0</v>
      </c>
      <c r="L21" s="17">
        <v>3.55</v>
      </c>
      <c r="M21" s="18" t="s">
        <v>17</v>
      </c>
      <c r="N21" s="18" t="s">
        <v>18</v>
      </c>
      <c r="O21" s="19">
        <v>0.0</v>
      </c>
      <c r="P21" s="20">
        <v>0.073</v>
      </c>
      <c r="Q21" s="28" t="s">
        <v>19</v>
      </c>
      <c r="R21" s="36"/>
      <c r="S21" s="37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9" t="s">
        <v>20</v>
      </c>
      <c r="B22" s="22">
        <v>4.0</v>
      </c>
      <c r="C22" s="17">
        <f>(495.6+493.1+487.7)/3</f>
        <v>492.1333333</v>
      </c>
      <c r="D22" s="12">
        <f t="shared" si="13"/>
        <v>1.968533333</v>
      </c>
      <c r="E22" s="17">
        <f>(3.2475+3.2091+3.17)/3</f>
        <v>3.208866667</v>
      </c>
      <c r="F22" s="31"/>
      <c r="G22" s="25"/>
      <c r="H22" s="25"/>
      <c r="I22" s="16">
        <f t="shared" ref="I22:I23" si="16">I21</f>
        <v>0.031443884</v>
      </c>
      <c r="J22" s="25"/>
      <c r="K22" s="10">
        <v>20.0</v>
      </c>
      <c r="L22" s="17">
        <v>3.55</v>
      </c>
      <c r="M22" s="18" t="s">
        <v>17</v>
      </c>
      <c r="N22" s="18" t="s">
        <v>18</v>
      </c>
      <c r="O22" s="19">
        <v>0.0</v>
      </c>
      <c r="P22" s="20">
        <v>0.073</v>
      </c>
      <c r="Q22" s="25"/>
      <c r="R22" s="36"/>
      <c r="S22" s="37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9" t="s">
        <v>20</v>
      </c>
      <c r="B23" s="22">
        <v>4.0</v>
      </c>
      <c r="C23" s="17">
        <f>(501.3+500.3+493.5)/3</f>
        <v>498.3666667</v>
      </c>
      <c r="D23" s="12">
        <f t="shared" si="13"/>
        <v>1.993466667</v>
      </c>
      <c r="E23" s="17">
        <f>(3.2981+3.2511+3.216)/3</f>
        <v>3.255066667</v>
      </c>
      <c r="F23" s="31"/>
      <c r="G23" s="26"/>
      <c r="H23" s="26"/>
      <c r="I23" s="16">
        <f t="shared" si="16"/>
        <v>0.031443884</v>
      </c>
      <c r="J23" s="26"/>
      <c r="K23" s="10">
        <v>20.0</v>
      </c>
      <c r="L23" s="17">
        <v>3.55</v>
      </c>
      <c r="M23" s="18" t="s">
        <v>17</v>
      </c>
      <c r="N23" s="18" t="s">
        <v>18</v>
      </c>
      <c r="O23" s="19">
        <v>0.0</v>
      </c>
      <c r="P23" s="20">
        <v>0.073</v>
      </c>
      <c r="Q23" s="26"/>
      <c r="R23" s="38"/>
      <c r="S23" s="37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9" t="s">
        <v>20</v>
      </c>
      <c r="B24" s="14">
        <v>3.0</v>
      </c>
      <c r="C24" s="17">
        <f>(337.48+374.32+369.54)/3</f>
        <v>360.4466667</v>
      </c>
      <c r="D24" s="12">
        <f t="shared" si="13"/>
        <v>1.08134</v>
      </c>
      <c r="E24" s="17">
        <f>(2.2375+2.2119+2.1917)/3</f>
        <v>2.2137</v>
      </c>
      <c r="F24" s="31"/>
      <c r="G24" s="15">
        <f t="shared" ref="G24:H24" si="17">AVERAGE(D24:D26)</f>
        <v>1.074613333</v>
      </c>
      <c r="H24" s="15">
        <f t="shared" si="17"/>
        <v>2.166555556</v>
      </c>
      <c r="I24" s="16">
        <f>((H24 / 1000)*9.81)</f>
        <v>0.02125391</v>
      </c>
      <c r="J24" s="15">
        <f>I24/G24</f>
        <v>0.01977819309</v>
      </c>
      <c r="K24" s="10">
        <v>20.0</v>
      </c>
      <c r="L24" s="17">
        <v>3.55</v>
      </c>
      <c r="M24" s="18" t="s">
        <v>17</v>
      </c>
      <c r="N24" s="18" t="s">
        <v>18</v>
      </c>
      <c r="O24" s="19">
        <v>0.0</v>
      </c>
      <c r="P24" s="20">
        <v>0.073</v>
      </c>
      <c r="Q24" s="28" t="s">
        <v>19</v>
      </c>
      <c r="R24" s="36"/>
      <c r="S24" s="36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9" t="s">
        <v>20</v>
      </c>
      <c r="B25" s="10">
        <v>3.0</v>
      </c>
      <c r="C25" s="11">
        <f>(358.7+355.1+353.2)/3</f>
        <v>355.6666667</v>
      </c>
      <c r="D25" s="12">
        <f t="shared" si="13"/>
        <v>1.067</v>
      </c>
      <c r="E25" s="17">
        <f>(2.2522+2.2275+2.2082)/3</f>
        <v>2.2293</v>
      </c>
      <c r="F25" s="31"/>
      <c r="G25" s="25"/>
      <c r="H25" s="25"/>
      <c r="I25" s="16">
        <f t="shared" ref="I25:I26" si="18">I24</f>
        <v>0.02125391</v>
      </c>
      <c r="J25" s="25"/>
      <c r="K25" s="10">
        <v>20.0</v>
      </c>
      <c r="L25" s="17">
        <v>3.55</v>
      </c>
      <c r="M25" s="18" t="s">
        <v>17</v>
      </c>
      <c r="N25" s="18" t="s">
        <v>18</v>
      </c>
      <c r="O25" s="19">
        <v>0.0</v>
      </c>
      <c r="P25" s="20">
        <v>0.073</v>
      </c>
      <c r="Q25" s="25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9" t="s">
        <v>20</v>
      </c>
      <c r="B26" s="10">
        <v>3.0</v>
      </c>
      <c r="C26" s="30">
        <f>(361.2+357.4+356.9)/3</f>
        <v>358.5</v>
      </c>
      <c r="D26" s="12">
        <f t="shared" si="13"/>
        <v>1.0755</v>
      </c>
      <c r="E26" s="17">
        <f>(2.0694+2.0564+2.0442)/3</f>
        <v>2.056666667</v>
      </c>
      <c r="F26" s="31"/>
      <c r="G26" s="26"/>
      <c r="H26" s="26"/>
      <c r="I26" s="16">
        <f t="shared" si="18"/>
        <v>0.02125391</v>
      </c>
      <c r="J26" s="26"/>
      <c r="K26" s="10">
        <v>20.0</v>
      </c>
      <c r="L26" s="17">
        <v>3.55</v>
      </c>
      <c r="M26" s="18" t="s">
        <v>17</v>
      </c>
      <c r="N26" s="18" t="s">
        <v>18</v>
      </c>
      <c r="O26" s="19">
        <v>0.0</v>
      </c>
      <c r="P26" s="20">
        <v>0.073</v>
      </c>
      <c r="Q26" s="26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9" t="s">
        <v>20</v>
      </c>
      <c r="B27" s="10">
        <v>2.0</v>
      </c>
      <c r="C27" s="34">
        <f>(226.8+225+225.7)/3</f>
        <v>225.8333333</v>
      </c>
      <c r="D27" s="12">
        <f t="shared" si="13"/>
        <v>0.4516666667</v>
      </c>
      <c r="E27" s="17">
        <f>(1.2905+1.286+1.2783)/3</f>
        <v>1.284933333</v>
      </c>
      <c r="F27" s="31"/>
      <c r="G27" s="15">
        <f t="shared" ref="G27:H27" si="19">AVERAGE(D27:D29)</f>
        <v>0.4545111111</v>
      </c>
      <c r="H27" s="15">
        <f t="shared" si="19"/>
        <v>1.281688889</v>
      </c>
      <c r="I27" s="16">
        <f>((H27 / 1000)*9.81)</f>
        <v>0.012573368</v>
      </c>
      <c r="J27" s="15">
        <f>I27/G27</f>
        <v>0.02766349973</v>
      </c>
      <c r="K27" s="10">
        <v>20.0</v>
      </c>
      <c r="L27" s="17">
        <v>3.55</v>
      </c>
      <c r="M27" s="18" t="s">
        <v>17</v>
      </c>
      <c r="N27" s="18" t="s">
        <v>18</v>
      </c>
      <c r="O27" s="19">
        <v>0.0</v>
      </c>
      <c r="P27" s="20">
        <v>0.073</v>
      </c>
      <c r="Q27" s="28" t="s">
        <v>19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9" t="s">
        <v>20</v>
      </c>
      <c r="B28" s="10">
        <v>2.0</v>
      </c>
      <c r="C28" s="30">
        <f>(229+228+228.3)/3</f>
        <v>228.4333333</v>
      </c>
      <c r="D28" s="12">
        <f t="shared" si="13"/>
        <v>0.4568666667</v>
      </c>
      <c r="E28" s="17">
        <f>(1.2898+1.2845+1.2817)/3</f>
        <v>1.285333333</v>
      </c>
      <c r="F28" s="31"/>
      <c r="G28" s="25"/>
      <c r="H28" s="25"/>
      <c r="I28" s="16">
        <f t="shared" ref="I28:I29" si="20">I27</f>
        <v>0.012573368</v>
      </c>
      <c r="J28" s="25"/>
      <c r="K28" s="10">
        <v>20.0</v>
      </c>
      <c r="L28" s="17">
        <v>3.55</v>
      </c>
      <c r="M28" s="18" t="s">
        <v>17</v>
      </c>
      <c r="N28" s="18" t="s">
        <v>18</v>
      </c>
      <c r="O28" s="19">
        <v>0.0</v>
      </c>
      <c r="P28" s="20">
        <v>0.073</v>
      </c>
      <c r="Q28" s="25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9" t="s">
        <v>20</v>
      </c>
      <c r="B29" s="14">
        <v>2.0</v>
      </c>
      <c r="C29" s="30">
        <f>(228.2+226.6+227.7)/3</f>
        <v>227.5</v>
      </c>
      <c r="D29" s="12">
        <f t="shared" si="13"/>
        <v>0.455</v>
      </c>
      <c r="E29" s="23">
        <f>(1.2817+1.2753+1.2674)/3</f>
        <v>1.2748</v>
      </c>
      <c r="F29" s="31"/>
      <c r="G29" s="26"/>
      <c r="H29" s="26"/>
      <c r="I29" s="16">
        <f t="shared" si="20"/>
        <v>0.012573368</v>
      </c>
      <c r="J29" s="26"/>
      <c r="K29" s="10">
        <v>20.0</v>
      </c>
      <c r="L29" s="17">
        <v>3.55</v>
      </c>
      <c r="M29" s="18" t="s">
        <v>17</v>
      </c>
      <c r="N29" s="18" t="s">
        <v>18</v>
      </c>
      <c r="O29" s="19">
        <v>0.0</v>
      </c>
      <c r="P29" s="20">
        <v>0.073</v>
      </c>
      <c r="Q29" s="26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9"/>
      <c r="B30" s="14"/>
      <c r="C30" s="34"/>
      <c r="D30" s="12"/>
      <c r="E30" s="23"/>
      <c r="F30" s="31"/>
      <c r="G30" s="12"/>
      <c r="H30" s="12"/>
      <c r="I30" s="33"/>
      <c r="J30" s="31"/>
      <c r="K30" s="29"/>
      <c r="L30" s="39"/>
      <c r="M30" s="18"/>
      <c r="N30" s="18"/>
      <c r="O30" s="19"/>
      <c r="P30" s="20"/>
      <c r="Q30" s="24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9" t="s">
        <v>21</v>
      </c>
      <c r="B31" s="10">
        <v>4.7</v>
      </c>
      <c r="C31" s="34">
        <f>(1049.1+1050.2+1049.4)/3</f>
        <v>1049.566667</v>
      </c>
      <c r="D31" s="12">
        <f t="shared" ref="D31:D42" si="22">(B31*C31)/1000</f>
        <v>4.932963333</v>
      </c>
      <c r="E31" s="23">
        <f>(6.5354+6.5705+6.5714)/3</f>
        <v>6.5591</v>
      </c>
      <c r="F31" s="31"/>
      <c r="G31" s="15">
        <f t="shared" ref="G31:H31" si="21">AVERAGE(D31:D33)</f>
        <v>4.933955556</v>
      </c>
      <c r="H31" s="15">
        <f t="shared" si="21"/>
        <v>6.507788889</v>
      </c>
      <c r="I31" s="16">
        <f>((H31 / 1000)*9.81)</f>
        <v>0.063841409</v>
      </c>
      <c r="J31" s="15">
        <f>I31/G31</f>
        <v>0.01293919418</v>
      </c>
      <c r="K31" s="10">
        <v>20.0</v>
      </c>
      <c r="L31" s="17">
        <v>3.55</v>
      </c>
      <c r="M31" s="18" t="s">
        <v>17</v>
      </c>
      <c r="N31" s="18" t="s">
        <v>18</v>
      </c>
      <c r="O31" s="19">
        <v>0.0</v>
      </c>
      <c r="P31" s="20">
        <v>0.073</v>
      </c>
      <c r="Q31" s="28" t="s">
        <v>19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9" t="s">
        <v>21</v>
      </c>
      <c r="B32" s="10">
        <v>4.7</v>
      </c>
      <c r="C32" s="34">
        <f>(1049.9+1049.9+1049.9)/3</f>
        <v>1049.9</v>
      </c>
      <c r="D32" s="12">
        <f t="shared" si="22"/>
        <v>4.93453</v>
      </c>
      <c r="E32" s="23">
        <f>(6.5965+6.5135+6.5955)/3</f>
        <v>6.5685</v>
      </c>
      <c r="F32" s="31"/>
      <c r="G32" s="25"/>
      <c r="H32" s="25"/>
      <c r="I32" s="16">
        <f t="shared" ref="I32:I33" si="23">I31</f>
        <v>0.063841409</v>
      </c>
      <c r="J32" s="25"/>
      <c r="K32" s="10">
        <v>20.0</v>
      </c>
      <c r="L32" s="17">
        <v>3.55</v>
      </c>
      <c r="M32" s="18" t="s">
        <v>17</v>
      </c>
      <c r="N32" s="18" t="s">
        <v>18</v>
      </c>
      <c r="O32" s="19">
        <v>0.0</v>
      </c>
      <c r="P32" s="20">
        <v>0.073</v>
      </c>
      <c r="Q32" s="25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9" t="s">
        <v>21</v>
      </c>
      <c r="B33" s="10">
        <v>4.7</v>
      </c>
      <c r="C33" s="34">
        <f>(1049.8+1049.9+1049.9)/3</f>
        <v>1049.866667</v>
      </c>
      <c r="D33" s="12">
        <f t="shared" si="22"/>
        <v>4.934373333</v>
      </c>
      <c r="E33" s="23">
        <f>(6.2733+6.4203+6.4937)/3</f>
        <v>6.395766667</v>
      </c>
      <c r="F33" s="31"/>
      <c r="G33" s="26"/>
      <c r="H33" s="26"/>
      <c r="I33" s="16">
        <f t="shared" si="23"/>
        <v>0.063841409</v>
      </c>
      <c r="J33" s="26"/>
      <c r="K33" s="10">
        <v>20.0</v>
      </c>
      <c r="L33" s="17">
        <v>3.55</v>
      </c>
      <c r="M33" s="18" t="s">
        <v>17</v>
      </c>
      <c r="N33" s="18" t="s">
        <v>18</v>
      </c>
      <c r="O33" s="19">
        <v>0.0</v>
      </c>
      <c r="P33" s="20">
        <v>0.073</v>
      </c>
      <c r="Q33" s="26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9" t="s">
        <v>21</v>
      </c>
      <c r="B34" s="35">
        <v>4.0</v>
      </c>
      <c r="C34" s="34">
        <f>(856.9+855.3+854.1)/3</f>
        <v>855.4333333</v>
      </c>
      <c r="D34" s="12">
        <f t="shared" si="22"/>
        <v>3.421733333</v>
      </c>
      <c r="E34" s="23">
        <f>(5.7111+5.7106+5.7106)/3</f>
        <v>5.710766667</v>
      </c>
      <c r="F34" s="31"/>
      <c r="G34" s="15">
        <f t="shared" ref="G34:H34" si="24">AVERAGE(D34:D36)</f>
        <v>3.408177778</v>
      </c>
      <c r="H34" s="15">
        <f t="shared" si="24"/>
        <v>5.715377778</v>
      </c>
      <c r="I34" s="16">
        <f>((H34 / 1000)*9.81)</f>
        <v>0.056067856</v>
      </c>
      <c r="J34" s="15">
        <f>I34/G34</f>
        <v>0.01645097752</v>
      </c>
      <c r="K34" s="10">
        <v>20.0</v>
      </c>
      <c r="L34" s="17">
        <v>3.55</v>
      </c>
      <c r="M34" s="18" t="s">
        <v>17</v>
      </c>
      <c r="N34" s="18" t="s">
        <v>18</v>
      </c>
      <c r="O34" s="19">
        <v>0.0</v>
      </c>
      <c r="P34" s="20">
        <v>0.073</v>
      </c>
      <c r="Q34" s="28" t="s">
        <v>19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9" t="s">
        <v>21</v>
      </c>
      <c r="B35" s="22">
        <v>4.0</v>
      </c>
      <c r="C35" s="34">
        <f>(869.3+866.4+861.8)/3</f>
        <v>865.8333333</v>
      </c>
      <c r="D35" s="12">
        <f t="shared" si="22"/>
        <v>3.463333333</v>
      </c>
      <c r="E35" s="23">
        <f>(5.7824+5.7846+5.7566)/3</f>
        <v>5.774533333</v>
      </c>
      <c r="F35" s="31"/>
      <c r="G35" s="25"/>
      <c r="H35" s="25"/>
      <c r="I35" s="16">
        <f t="shared" ref="I35:I36" si="25">I34</f>
        <v>0.056067856</v>
      </c>
      <c r="J35" s="25"/>
      <c r="K35" s="10">
        <v>20.0</v>
      </c>
      <c r="L35" s="17">
        <v>3.55</v>
      </c>
      <c r="M35" s="18" t="s">
        <v>17</v>
      </c>
      <c r="N35" s="18" t="s">
        <v>18</v>
      </c>
      <c r="O35" s="19">
        <v>0.0</v>
      </c>
      <c r="P35" s="20">
        <v>0.073</v>
      </c>
      <c r="Q35" s="25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9" t="s">
        <v>21</v>
      </c>
      <c r="B36" s="22">
        <v>4.0</v>
      </c>
      <c r="C36" s="34">
        <f>(833.3+829.5+841.8)/3</f>
        <v>834.8666667</v>
      </c>
      <c r="D36" s="12">
        <f t="shared" si="22"/>
        <v>3.339466667</v>
      </c>
      <c r="E36" s="23">
        <f>(5.6843+5.6624+5.6358)/3</f>
        <v>5.660833333</v>
      </c>
      <c r="F36" s="31"/>
      <c r="G36" s="26"/>
      <c r="H36" s="26"/>
      <c r="I36" s="16">
        <f t="shared" si="25"/>
        <v>0.056067856</v>
      </c>
      <c r="J36" s="26"/>
      <c r="K36" s="10">
        <v>20.0</v>
      </c>
      <c r="L36" s="17">
        <v>3.55</v>
      </c>
      <c r="M36" s="18" t="s">
        <v>17</v>
      </c>
      <c r="N36" s="18" t="s">
        <v>18</v>
      </c>
      <c r="O36" s="19">
        <v>0.0</v>
      </c>
      <c r="P36" s="20">
        <v>0.073</v>
      </c>
      <c r="Q36" s="26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9" t="s">
        <v>21</v>
      </c>
      <c r="B37" s="14">
        <v>3.0</v>
      </c>
      <c r="C37" s="34">
        <f>(551.2+549.4+550)/3</f>
        <v>550.2</v>
      </c>
      <c r="D37" s="12">
        <f t="shared" si="22"/>
        <v>1.6506</v>
      </c>
      <c r="E37" s="23">
        <f>(3.6118+3.6007+3.5967)/3</f>
        <v>3.603066667</v>
      </c>
      <c r="F37" s="31"/>
      <c r="G37" s="15">
        <f t="shared" ref="G37:H37" si="26">AVERAGE(D37:D39)</f>
        <v>1.672333333</v>
      </c>
      <c r="H37" s="15">
        <f t="shared" si="26"/>
        <v>3.726322222</v>
      </c>
      <c r="I37" s="16">
        <f>((H37 / 1000)*9.81)</f>
        <v>0.036555221</v>
      </c>
      <c r="J37" s="15">
        <f>I37/G37</f>
        <v>0.02185881264</v>
      </c>
      <c r="K37" s="10">
        <v>20.0</v>
      </c>
      <c r="L37" s="17">
        <v>3.55</v>
      </c>
      <c r="M37" s="18" t="s">
        <v>17</v>
      </c>
      <c r="N37" s="18" t="s">
        <v>18</v>
      </c>
      <c r="O37" s="19">
        <v>0.0</v>
      </c>
      <c r="P37" s="20">
        <v>0.073</v>
      </c>
      <c r="Q37" s="28" t="s">
        <v>19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9" t="s">
        <v>21</v>
      </c>
      <c r="B38" s="10">
        <v>3.0</v>
      </c>
      <c r="C38" s="34">
        <f>(560+557.4+555.1)/3</f>
        <v>557.5</v>
      </c>
      <c r="D38" s="12">
        <f t="shared" si="22"/>
        <v>1.6725</v>
      </c>
      <c r="E38" s="23">
        <f>(3.7884+3.7887+3.7767)/3</f>
        <v>3.7846</v>
      </c>
      <c r="F38" s="31"/>
      <c r="G38" s="25"/>
      <c r="H38" s="25"/>
      <c r="I38" s="16">
        <f t="shared" ref="I38:I39" si="27">I37</f>
        <v>0.036555221</v>
      </c>
      <c r="J38" s="25"/>
      <c r="K38" s="10">
        <v>20.0</v>
      </c>
      <c r="L38" s="17">
        <v>3.55</v>
      </c>
      <c r="M38" s="18" t="s">
        <v>17</v>
      </c>
      <c r="N38" s="18" t="s">
        <v>18</v>
      </c>
      <c r="O38" s="19">
        <v>0.0</v>
      </c>
      <c r="P38" s="20">
        <v>0.073</v>
      </c>
      <c r="Q38" s="25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9" t="s">
        <v>21</v>
      </c>
      <c r="B39" s="10">
        <v>3.0</v>
      </c>
      <c r="C39" s="34">
        <f>(566+563.8+564.1)/3</f>
        <v>564.6333333</v>
      </c>
      <c r="D39" s="12">
        <f t="shared" si="22"/>
        <v>1.6939</v>
      </c>
      <c r="E39" s="23">
        <f>(3.8004+3.7936+3.7799)/3</f>
        <v>3.7913</v>
      </c>
      <c r="F39" s="31"/>
      <c r="G39" s="26"/>
      <c r="H39" s="26"/>
      <c r="I39" s="16">
        <f t="shared" si="27"/>
        <v>0.036555221</v>
      </c>
      <c r="J39" s="26"/>
      <c r="K39" s="10">
        <v>20.0</v>
      </c>
      <c r="L39" s="17">
        <v>3.55</v>
      </c>
      <c r="M39" s="18" t="s">
        <v>17</v>
      </c>
      <c r="N39" s="18" t="s">
        <v>18</v>
      </c>
      <c r="O39" s="19">
        <v>0.0</v>
      </c>
      <c r="P39" s="20">
        <v>0.073</v>
      </c>
      <c r="Q39" s="26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9" t="s">
        <v>21</v>
      </c>
      <c r="B40" s="10">
        <v>2.0</v>
      </c>
      <c r="C40" s="34">
        <f>(320+319.8+319.7)/3</f>
        <v>319.8333333</v>
      </c>
      <c r="D40" s="12">
        <f t="shared" si="22"/>
        <v>0.6396666667</v>
      </c>
      <c r="E40" s="23">
        <f>(2.0677+2.0614+2.05)/3</f>
        <v>2.0597</v>
      </c>
      <c r="F40" s="31"/>
      <c r="G40" s="15">
        <f t="shared" ref="G40:H40" si="28">AVERAGE(D40:D42)</f>
        <v>0.6444222222</v>
      </c>
      <c r="H40" s="15">
        <f t="shared" si="28"/>
        <v>2.083355556</v>
      </c>
      <c r="I40" s="16">
        <f>((H40 / 1000)*9.81)</f>
        <v>0.020437718</v>
      </c>
      <c r="J40" s="15">
        <f>I40/G40</f>
        <v>0.03171479396</v>
      </c>
      <c r="K40" s="10">
        <v>20.0</v>
      </c>
      <c r="L40" s="17">
        <v>3.55</v>
      </c>
      <c r="M40" s="18" t="s">
        <v>17</v>
      </c>
      <c r="N40" s="18" t="s">
        <v>18</v>
      </c>
      <c r="O40" s="19">
        <v>0.0</v>
      </c>
      <c r="P40" s="20">
        <v>0.073</v>
      </c>
      <c r="Q40" s="28" t="s">
        <v>19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9" t="s">
        <v>21</v>
      </c>
      <c r="B41" s="10">
        <v>2.0</v>
      </c>
      <c r="C41" s="34">
        <f>((324.9+322.1+322.1)/3)</f>
        <v>323.0333333</v>
      </c>
      <c r="D41" s="12">
        <f t="shared" si="22"/>
        <v>0.6460666667</v>
      </c>
      <c r="E41" s="23">
        <f>(2.0973+2.0988+2.1011)/3</f>
        <v>2.099066667</v>
      </c>
      <c r="F41" s="31"/>
      <c r="G41" s="25"/>
      <c r="H41" s="25"/>
      <c r="I41" s="16">
        <f t="shared" ref="I41:I42" si="29">I40</f>
        <v>0.020437718</v>
      </c>
      <c r="J41" s="25"/>
      <c r="K41" s="10">
        <v>20.0</v>
      </c>
      <c r="L41" s="17">
        <v>3.55</v>
      </c>
      <c r="M41" s="18" t="s">
        <v>17</v>
      </c>
      <c r="N41" s="18" t="s">
        <v>18</v>
      </c>
      <c r="O41" s="19">
        <v>0.0</v>
      </c>
      <c r="P41" s="20">
        <v>0.073</v>
      </c>
      <c r="Q41" s="25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9" t="s">
        <v>21</v>
      </c>
      <c r="B42" s="14">
        <v>2.0</v>
      </c>
      <c r="C42" s="34">
        <f>(327.5+323.2+320.6)/3</f>
        <v>323.7666667</v>
      </c>
      <c r="D42" s="12">
        <f t="shared" si="22"/>
        <v>0.6475333333</v>
      </c>
      <c r="E42" s="23">
        <f>(2.0985+2.0946+2.0808)/3</f>
        <v>2.0913</v>
      </c>
      <c r="F42" s="31"/>
      <c r="G42" s="26"/>
      <c r="H42" s="26"/>
      <c r="I42" s="16">
        <f t="shared" si="29"/>
        <v>0.020437718</v>
      </c>
      <c r="J42" s="26"/>
      <c r="K42" s="10">
        <v>20.0</v>
      </c>
      <c r="L42" s="17">
        <v>3.55</v>
      </c>
      <c r="M42" s="18" t="s">
        <v>17</v>
      </c>
      <c r="N42" s="18" t="s">
        <v>18</v>
      </c>
      <c r="O42" s="19">
        <v>0.0</v>
      </c>
      <c r="P42" s="20">
        <v>0.073</v>
      </c>
      <c r="Q42" s="26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31"/>
      <c r="B43" s="31"/>
      <c r="C43" s="30"/>
      <c r="D43" s="32"/>
      <c r="E43" s="33"/>
      <c r="F43" s="31"/>
      <c r="G43" s="31"/>
      <c r="H43" s="31"/>
      <c r="I43" s="31"/>
      <c r="J43" s="31"/>
      <c r="K43" s="31"/>
      <c r="L43" s="31"/>
      <c r="M43" s="31"/>
      <c r="N43" s="31"/>
      <c r="O43" s="40"/>
      <c r="P43" s="40"/>
      <c r="Q43" s="31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41"/>
      <c r="B44" s="42"/>
      <c r="C44" s="43"/>
      <c r="D44" s="44"/>
      <c r="E44" s="45"/>
      <c r="F44" s="8"/>
      <c r="G44" s="46"/>
      <c r="H44" s="46"/>
      <c r="I44" s="8"/>
      <c r="J44" s="8"/>
      <c r="K44" s="47"/>
      <c r="L44" s="48"/>
      <c r="M44" s="48"/>
      <c r="N44" s="49"/>
      <c r="O44" s="50"/>
      <c r="P44" s="51"/>
      <c r="Q44" s="52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41"/>
      <c r="B45" s="42"/>
      <c r="C45" s="43"/>
      <c r="D45" s="44"/>
      <c r="E45" s="45"/>
      <c r="F45" s="8"/>
      <c r="G45" s="46"/>
      <c r="H45" s="46"/>
      <c r="I45" s="8"/>
      <c r="J45" s="8"/>
      <c r="K45" s="47"/>
      <c r="L45" s="48"/>
      <c r="M45" s="48"/>
      <c r="N45" s="49"/>
      <c r="O45" s="50"/>
      <c r="P45" s="51"/>
      <c r="Q45" s="52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41"/>
      <c r="B46" s="42"/>
      <c r="C46" s="37"/>
      <c r="D46" s="36"/>
      <c r="E46" s="37"/>
      <c r="F46" s="8"/>
      <c r="G46" s="46"/>
      <c r="H46" s="46"/>
      <c r="I46" s="8"/>
      <c r="J46" s="8"/>
      <c r="K46" s="47"/>
      <c r="L46" s="48"/>
      <c r="M46" s="48"/>
      <c r="N46" s="49"/>
      <c r="O46" s="50"/>
      <c r="P46" s="51"/>
      <c r="Q46" s="52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41"/>
      <c r="B47" s="42"/>
      <c r="C47" s="37"/>
      <c r="D47" s="36"/>
      <c r="E47" s="37"/>
      <c r="F47" s="8"/>
      <c r="G47" s="46"/>
      <c r="H47" s="46"/>
      <c r="I47" s="8"/>
      <c r="J47" s="8"/>
      <c r="K47" s="47"/>
      <c r="L47" s="48"/>
      <c r="M47" s="48"/>
      <c r="N47" s="49"/>
      <c r="O47" s="50"/>
      <c r="P47" s="51"/>
      <c r="Q47" s="52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41"/>
      <c r="B48" s="42"/>
      <c r="C48" s="37"/>
      <c r="D48" s="36"/>
      <c r="E48" s="37"/>
      <c r="F48" s="8"/>
      <c r="G48" s="46"/>
      <c r="H48" s="46"/>
      <c r="I48" s="8"/>
      <c r="J48" s="8"/>
      <c r="K48" s="47"/>
      <c r="L48" s="48"/>
      <c r="M48" s="48"/>
      <c r="N48" s="49"/>
      <c r="O48" s="50"/>
      <c r="P48" s="51"/>
      <c r="Q48" s="52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41"/>
      <c r="B49" s="42"/>
      <c r="C49" s="37"/>
      <c r="D49" s="36"/>
      <c r="E49" s="37"/>
      <c r="F49" s="8"/>
      <c r="G49" s="46"/>
      <c r="H49" s="46"/>
      <c r="I49" s="8"/>
      <c r="J49" s="8"/>
      <c r="K49" s="47"/>
      <c r="L49" s="48"/>
      <c r="M49" s="48"/>
      <c r="N49" s="49"/>
      <c r="O49" s="50"/>
      <c r="P49" s="51"/>
      <c r="Q49" s="52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41"/>
      <c r="B50" s="42"/>
      <c r="C50" s="43"/>
      <c r="D50" s="44"/>
      <c r="E50" s="45"/>
      <c r="F50" s="8"/>
      <c r="G50" s="46"/>
      <c r="H50" s="46"/>
      <c r="I50" s="8"/>
      <c r="J50" s="8"/>
      <c r="K50" s="47"/>
      <c r="L50" s="48"/>
      <c r="M50" s="48"/>
      <c r="N50" s="49"/>
      <c r="O50" s="50"/>
      <c r="P50" s="51"/>
      <c r="Q50" s="52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41"/>
      <c r="B51" s="42"/>
      <c r="C51" s="43"/>
      <c r="D51" s="44"/>
      <c r="E51" s="45"/>
      <c r="F51" s="8"/>
      <c r="G51" s="46"/>
      <c r="H51" s="46"/>
      <c r="I51" s="8"/>
      <c r="J51" s="8"/>
      <c r="K51" s="47"/>
      <c r="L51" s="48"/>
      <c r="M51" s="48"/>
      <c r="N51" s="49"/>
      <c r="O51" s="50"/>
      <c r="P51" s="51"/>
      <c r="Q51" s="52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8"/>
      <c r="B52" s="53"/>
      <c r="C52" s="43"/>
      <c r="D52" s="54"/>
      <c r="E52" s="55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8"/>
      <c r="B53" s="53"/>
      <c r="C53" s="43"/>
      <c r="D53" s="54"/>
      <c r="E53" s="55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8"/>
      <c r="B54" s="53"/>
      <c r="C54" s="43"/>
      <c r="D54" s="54"/>
      <c r="E54" s="55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8"/>
      <c r="B55" s="53"/>
      <c r="C55" s="43"/>
      <c r="D55" s="54"/>
      <c r="E55" s="55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8"/>
      <c r="B56" s="53"/>
      <c r="C56" s="43"/>
      <c r="D56" s="54"/>
      <c r="E56" s="55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8"/>
      <c r="B57" s="53"/>
      <c r="C57" s="43"/>
      <c r="D57" s="54"/>
      <c r="E57" s="55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8"/>
      <c r="B58" s="53"/>
      <c r="C58" s="43"/>
      <c r="D58" s="54"/>
      <c r="E58" s="55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8"/>
      <c r="B59" s="53"/>
      <c r="C59" s="43"/>
      <c r="D59" s="54"/>
      <c r="E59" s="55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8"/>
      <c r="B60" s="53"/>
      <c r="C60" s="43"/>
      <c r="D60" s="54"/>
      <c r="E60" s="55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8"/>
      <c r="B61" s="53"/>
      <c r="C61" s="43"/>
      <c r="D61" s="54"/>
      <c r="E61" s="55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8"/>
      <c r="B62" s="53"/>
      <c r="C62" s="43"/>
      <c r="D62" s="54"/>
      <c r="E62" s="55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8"/>
      <c r="B63" s="53"/>
      <c r="C63" s="43"/>
      <c r="D63" s="54"/>
      <c r="E63" s="55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8"/>
      <c r="B64" s="53"/>
      <c r="C64" s="43"/>
      <c r="D64" s="54"/>
      <c r="E64" s="55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8"/>
      <c r="B65" s="53"/>
      <c r="C65" s="43"/>
      <c r="D65" s="54"/>
      <c r="E65" s="55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8"/>
      <c r="B66" s="53"/>
      <c r="C66" s="43"/>
      <c r="D66" s="54"/>
      <c r="E66" s="55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8"/>
      <c r="B67" s="53"/>
      <c r="C67" s="43"/>
      <c r="D67" s="54"/>
      <c r="E67" s="55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8"/>
      <c r="B68" s="53"/>
      <c r="C68" s="43"/>
      <c r="D68" s="54"/>
      <c r="E68" s="55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8"/>
      <c r="B69" s="53"/>
      <c r="C69" s="43"/>
      <c r="D69" s="54"/>
      <c r="E69" s="55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8"/>
      <c r="B70" s="53"/>
      <c r="C70" s="43"/>
      <c r="D70" s="54"/>
      <c r="E70" s="55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8"/>
      <c r="B71" s="53"/>
      <c r="C71" s="43"/>
      <c r="D71" s="54"/>
      <c r="E71" s="55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8"/>
      <c r="B72" s="53"/>
      <c r="C72" s="43"/>
      <c r="D72" s="54"/>
      <c r="E72" s="55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8"/>
      <c r="B73" s="53"/>
      <c r="C73" s="43"/>
      <c r="D73" s="54"/>
      <c r="E73" s="55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8"/>
      <c r="B74" s="53"/>
      <c r="C74" s="43"/>
      <c r="D74" s="54"/>
      <c r="E74" s="55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8"/>
      <c r="B75" s="53"/>
      <c r="C75" s="43"/>
      <c r="D75" s="54"/>
      <c r="E75" s="55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8"/>
      <c r="B76" s="53"/>
      <c r="C76" s="43"/>
      <c r="D76" s="54"/>
      <c r="E76" s="55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53"/>
      <c r="C77" s="43"/>
      <c r="D77" s="54"/>
      <c r="E77" s="55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53"/>
      <c r="C78" s="43"/>
      <c r="D78" s="54"/>
      <c r="E78" s="55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53"/>
      <c r="C79" s="43"/>
      <c r="D79" s="54"/>
      <c r="E79" s="55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53"/>
      <c r="C80" s="43"/>
      <c r="D80" s="54"/>
      <c r="E80" s="55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53"/>
      <c r="C81" s="43"/>
      <c r="D81" s="54"/>
      <c r="E81" s="55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53"/>
      <c r="C82" s="43"/>
      <c r="D82" s="54"/>
      <c r="E82" s="55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53"/>
      <c r="C83" s="43"/>
      <c r="D83" s="54"/>
      <c r="E83" s="55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53"/>
      <c r="C84" s="43"/>
      <c r="D84" s="54"/>
      <c r="E84" s="55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53"/>
      <c r="C85" s="43"/>
      <c r="D85" s="54"/>
      <c r="E85" s="55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53"/>
      <c r="C86" s="43"/>
      <c r="D86" s="54"/>
      <c r="E86" s="55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53"/>
      <c r="C87" s="43"/>
      <c r="D87" s="54"/>
      <c r="E87" s="55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53"/>
      <c r="C88" s="43"/>
      <c r="D88" s="54"/>
      <c r="E88" s="55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53"/>
      <c r="C89" s="43"/>
      <c r="D89" s="54"/>
      <c r="E89" s="55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8"/>
      <c r="B90" s="53"/>
      <c r="C90" s="43"/>
      <c r="D90" s="54"/>
      <c r="E90" s="55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8"/>
      <c r="B91" s="53"/>
      <c r="C91" s="43"/>
      <c r="D91" s="54"/>
      <c r="E91" s="55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8"/>
      <c r="B92" s="53"/>
      <c r="C92" s="43"/>
      <c r="D92" s="54"/>
      <c r="E92" s="55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8"/>
      <c r="B93" s="53"/>
      <c r="C93" s="43"/>
      <c r="D93" s="54"/>
      <c r="E93" s="55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8"/>
      <c r="B94" s="53"/>
      <c r="C94" s="43"/>
      <c r="D94" s="54"/>
      <c r="E94" s="55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8"/>
      <c r="B95" s="53"/>
      <c r="C95" s="43"/>
      <c r="D95" s="54"/>
      <c r="E95" s="55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8"/>
      <c r="B96" s="53"/>
      <c r="C96" s="43"/>
      <c r="D96" s="54"/>
      <c r="E96" s="55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8"/>
      <c r="B97" s="53"/>
      <c r="C97" s="43"/>
      <c r="D97" s="54"/>
      <c r="E97" s="55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8"/>
      <c r="B98" s="53"/>
      <c r="C98" s="43"/>
      <c r="D98" s="54"/>
      <c r="E98" s="55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8"/>
      <c r="B99" s="53"/>
      <c r="C99" s="43"/>
      <c r="D99" s="54"/>
      <c r="E99" s="55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8"/>
      <c r="B100" s="53"/>
      <c r="C100" s="43"/>
      <c r="D100" s="54"/>
      <c r="E100" s="55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8"/>
      <c r="B101" s="53"/>
      <c r="C101" s="43"/>
      <c r="D101" s="54"/>
      <c r="E101" s="55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8"/>
      <c r="B102" s="53"/>
      <c r="C102" s="43"/>
      <c r="D102" s="54"/>
      <c r="E102" s="55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8"/>
      <c r="B103" s="53"/>
      <c r="C103" s="43"/>
      <c r="D103" s="54"/>
      <c r="E103" s="55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8"/>
      <c r="B104" s="53"/>
      <c r="C104" s="43"/>
      <c r="D104" s="54"/>
      <c r="E104" s="55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8"/>
      <c r="B105" s="53"/>
      <c r="C105" s="43"/>
      <c r="D105" s="54"/>
      <c r="E105" s="55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8"/>
      <c r="B106" s="53"/>
      <c r="C106" s="43"/>
      <c r="D106" s="54"/>
      <c r="E106" s="55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8"/>
      <c r="B107" s="53"/>
      <c r="C107" s="43"/>
      <c r="D107" s="54"/>
      <c r="E107" s="55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8"/>
      <c r="B108" s="53"/>
      <c r="C108" s="43"/>
      <c r="D108" s="54"/>
      <c r="E108" s="55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8"/>
      <c r="B109" s="53"/>
      <c r="C109" s="43"/>
      <c r="D109" s="54"/>
      <c r="E109" s="55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8"/>
      <c r="B110" s="53"/>
      <c r="C110" s="43"/>
      <c r="D110" s="54"/>
      <c r="E110" s="55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8"/>
      <c r="B111" s="53"/>
      <c r="C111" s="43"/>
      <c r="D111" s="54"/>
      <c r="E111" s="55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8"/>
      <c r="B112" s="53"/>
      <c r="C112" s="43"/>
      <c r="D112" s="54"/>
      <c r="E112" s="55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8"/>
      <c r="B113" s="53"/>
      <c r="C113" s="43"/>
      <c r="D113" s="54"/>
      <c r="E113" s="55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8"/>
      <c r="B114" s="53"/>
      <c r="C114" s="43"/>
      <c r="D114" s="54"/>
      <c r="E114" s="55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8"/>
      <c r="B115" s="53"/>
      <c r="C115" s="43"/>
      <c r="D115" s="54"/>
      <c r="E115" s="55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8"/>
      <c r="B116" s="53"/>
      <c r="C116" s="43"/>
      <c r="D116" s="54"/>
      <c r="E116" s="55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8"/>
      <c r="B117" s="53"/>
      <c r="C117" s="43"/>
      <c r="D117" s="54"/>
      <c r="E117" s="55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8"/>
      <c r="B118" s="53"/>
      <c r="C118" s="43"/>
      <c r="D118" s="54"/>
      <c r="E118" s="55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8"/>
      <c r="B119" s="53"/>
      <c r="C119" s="43"/>
      <c r="D119" s="54"/>
      <c r="E119" s="55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8"/>
      <c r="B120" s="53"/>
      <c r="C120" s="43"/>
      <c r="D120" s="54"/>
      <c r="E120" s="55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8"/>
      <c r="B121" s="53"/>
      <c r="C121" s="43"/>
      <c r="D121" s="54"/>
      <c r="E121" s="55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8"/>
      <c r="B122" s="53"/>
      <c r="C122" s="43"/>
      <c r="D122" s="54"/>
      <c r="E122" s="55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8"/>
      <c r="B123" s="53"/>
      <c r="C123" s="43"/>
      <c r="D123" s="54"/>
      <c r="E123" s="55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8"/>
      <c r="B124" s="53"/>
      <c r="C124" s="43"/>
      <c r="D124" s="54"/>
      <c r="E124" s="55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8"/>
      <c r="B125" s="53"/>
      <c r="C125" s="43"/>
      <c r="D125" s="54"/>
      <c r="E125" s="55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8"/>
      <c r="B126" s="53"/>
      <c r="C126" s="43"/>
      <c r="D126" s="54"/>
      <c r="E126" s="55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8"/>
      <c r="B127" s="53"/>
      <c r="C127" s="43"/>
      <c r="D127" s="54"/>
      <c r="E127" s="55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8"/>
      <c r="B128" s="53"/>
      <c r="C128" s="43"/>
      <c r="D128" s="54"/>
      <c r="E128" s="55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8"/>
      <c r="B129" s="53"/>
      <c r="C129" s="43"/>
      <c r="D129" s="54"/>
      <c r="E129" s="55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8"/>
      <c r="B130" s="53"/>
      <c r="C130" s="43"/>
      <c r="D130" s="54"/>
      <c r="E130" s="55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8"/>
      <c r="B131" s="53"/>
      <c r="C131" s="43"/>
      <c r="D131" s="54"/>
      <c r="E131" s="55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8"/>
      <c r="B132" s="53"/>
      <c r="C132" s="43"/>
      <c r="D132" s="54"/>
      <c r="E132" s="55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8"/>
      <c r="B133" s="53"/>
      <c r="C133" s="43"/>
      <c r="D133" s="54"/>
      <c r="E133" s="55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8"/>
      <c r="B134" s="53"/>
      <c r="C134" s="43"/>
      <c r="D134" s="54"/>
      <c r="E134" s="55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8"/>
      <c r="B135" s="53"/>
      <c r="C135" s="43"/>
      <c r="D135" s="54"/>
      <c r="E135" s="55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8"/>
      <c r="B136" s="53"/>
      <c r="C136" s="43"/>
      <c r="D136" s="54"/>
      <c r="E136" s="55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8"/>
      <c r="B137" s="53"/>
      <c r="C137" s="43"/>
      <c r="D137" s="54"/>
      <c r="E137" s="55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8"/>
      <c r="B138" s="53"/>
      <c r="C138" s="43"/>
      <c r="D138" s="54"/>
      <c r="E138" s="55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8"/>
      <c r="B139" s="53"/>
      <c r="C139" s="43"/>
      <c r="D139" s="54"/>
      <c r="E139" s="55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8"/>
      <c r="B140" s="53"/>
      <c r="C140" s="43"/>
      <c r="D140" s="54"/>
      <c r="E140" s="55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8"/>
      <c r="B141" s="53"/>
      <c r="C141" s="43"/>
      <c r="D141" s="54"/>
      <c r="E141" s="55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8"/>
      <c r="B142" s="53"/>
      <c r="C142" s="43"/>
      <c r="D142" s="54"/>
      <c r="E142" s="55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53"/>
      <c r="C143" s="43"/>
      <c r="D143" s="54"/>
      <c r="E143" s="55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53"/>
      <c r="C144" s="43"/>
      <c r="D144" s="54"/>
      <c r="E144" s="55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53"/>
      <c r="C145" s="43"/>
      <c r="D145" s="54"/>
      <c r="E145" s="55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53"/>
      <c r="C146" s="43"/>
      <c r="D146" s="54"/>
      <c r="E146" s="55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53"/>
      <c r="C147" s="43"/>
      <c r="D147" s="54"/>
      <c r="E147" s="55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53"/>
      <c r="C148" s="43"/>
      <c r="D148" s="54"/>
      <c r="E148" s="55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53"/>
      <c r="C149" s="43"/>
      <c r="D149" s="54"/>
      <c r="E149" s="55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53"/>
      <c r="C150" s="43"/>
      <c r="D150" s="54"/>
      <c r="E150" s="55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53"/>
      <c r="C151" s="43"/>
      <c r="D151" s="54"/>
      <c r="E151" s="55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53"/>
      <c r="C152" s="43"/>
      <c r="D152" s="54"/>
      <c r="E152" s="55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53"/>
      <c r="C153" s="43"/>
      <c r="D153" s="54"/>
      <c r="E153" s="55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53"/>
      <c r="C154" s="43"/>
      <c r="D154" s="54"/>
      <c r="E154" s="55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53"/>
      <c r="C155" s="43"/>
      <c r="D155" s="54"/>
      <c r="E155" s="55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53"/>
      <c r="C156" s="43"/>
      <c r="D156" s="54"/>
      <c r="E156" s="55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53"/>
      <c r="C157" s="43"/>
      <c r="D157" s="54"/>
      <c r="E157" s="55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53"/>
      <c r="C158" s="43"/>
      <c r="D158" s="54"/>
      <c r="E158" s="55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53"/>
      <c r="C159" s="43"/>
      <c r="D159" s="54"/>
      <c r="E159" s="55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53"/>
      <c r="C160" s="43"/>
      <c r="D160" s="54"/>
      <c r="E160" s="55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53"/>
      <c r="C161" s="43"/>
      <c r="D161" s="54"/>
      <c r="E161" s="55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53"/>
      <c r="C162" s="43"/>
      <c r="D162" s="54"/>
      <c r="E162" s="55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53"/>
      <c r="C163" s="43"/>
      <c r="D163" s="54"/>
      <c r="E163" s="55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53"/>
      <c r="C164" s="43"/>
      <c r="D164" s="54"/>
      <c r="E164" s="55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53"/>
      <c r="C165" s="43"/>
      <c r="D165" s="54"/>
      <c r="E165" s="55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53"/>
      <c r="C166" s="43"/>
      <c r="D166" s="54"/>
      <c r="E166" s="55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53"/>
      <c r="C167" s="43"/>
      <c r="D167" s="54"/>
      <c r="E167" s="55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53"/>
      <c r="C168" s="43"/>
      <c r="D168" s="54"/>
      <c r="E168" s="55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53"/>
      <c r="C169" s="43"/>
      <c r="D169" s="54"/>
      <c r="E169" s="55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53"/>
      <c r="C170" s="43"/>
      <c r="D170" s="54"/>
      <c r="E170" s="55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53"/>
      <c r="C171" s="43"/>
      <c r="D171" s="54"/>
      <c r="E171" s="55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53"/>
      <c r="C172" s="43"/>
      <c r="D172" s="54"/>
      <c r="E172" s="55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53"/>
      <c r="C173" s="43"/>
      <c r="D173" s="54"/>
      <c r="E173" s="55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53"/>
      <c r="C174" s="43"/>
      <c r="D174" s="54"/>
      <c r="E174" s="55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53"/>
      <c r="C175" s="43"/>
      <c r="D175" s="54"/>
      <c r="E175" s="55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53"/>
      <c r="C176" s="43"/>
      <c r="D176" s="54"/>
      <c r="E176" s="55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53"/>
      <c r="C177" s="43"/>
      <c r="D177" s="54"/>
      <c r="E177" s="55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53"/>
      <c r="C178" s="43"/>
      <c r="D178" s="54"/>
      <c r="E178" s="55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53"/>
      <c r="C179" s="43"/>
      <c r="D179" s="54"/>
      <c r="E179" s="55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53"/>
      <c r="C180" s="43"/>
      <c r="D180" s="54"/>
      <c r="E180" s="55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53"/>
      <c r="C181" s="43"/>
      <c r="D181" s="54"/>
      <c r="E181" s="55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53"/>
      <c r="C182" s="43"/>
      <c r="D182" s="54"/>
      <c r="E182" s="55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53"/>
      <c r="C183" s="43"/>
      <c r="D183" s="54"/>
      <c r="E183" s="55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53"/>
      <c r="C184" s="43"/>
      <c r="D184" s="54"/>
      <c r="E184" s="55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53"/>
      <c r="C185" s="43"/>
      <c r="D185" s="54"/>
      <c r="E185" s="55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53"/>
      <c r="C186" s="43"/>
      <c r="D186" s="54"/>
      <c r="E186" s="55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53"/>
      <c r="C187" s="43"/>
      <c r="D187" s="54"/>
      <c r="E187" s="55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53"/>
      <c r="C188" s="43"/>
      <c r="D188" s="54"/>
      <c r="E188" s="55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53"/>
      <c r="C189" s="43"/>
      <c r="D189" s="54"/>
      <c r="E189" s="55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53"/>
      <c r="C190" s="43"/>
      <c r="D190" s="54"/>
      <c r="E190" s="55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53"/>
      <c r="C191" s="43"/>
      <c r="D191" s="54"/>
      <c r="E191" s="55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53"/>
      <c r="C192" s="43"/>
      <c r="D192" s="54"/>
      <c r="E192" s="55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53"/>
      <c r="C193" s="43"/>
      <c r="D193" s="54"/>
      <c r="E193" s="55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53"/>
      <c r="C194" s="43"/>
      <c r="D194" s="54"/>
      <c r="E194" s="55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53"/>
      <c r="C195" s="43"/>
      <c r="D195" s="54"/>
      <c r="E195" s="55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53"/>
      <c r="C196" s="43"/>
      <c r="D196" s="54"/>
      <c r="E196" s="55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53"/>
      <c r="C197" s="43"/>
      <c r="D197" s="54"/>
      <c r="E197" s="55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53"/>
      <c r="C198" s="43"/>
      <c r="D198" s="54"/>
      <c r="E198" s="55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53"/>
      <c r="C199" s="43"/>
      <c r="D199" s="54"/>
      <c r="E199" s="55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53"/>
      <c r="C200" s="43"/>
      <c r="D200" s="54"/>
      <c r="E200" s="55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53"/>
      <c r="C201" s="43"/>
      <c r="D201" s="54"/>
      <c r="E201" s="55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53"/>
      <c r="C202" s="43"/>
      <c r="D202" s="54"/>
      <c r="E202" s="55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53"/>
      <c r="C203" s="43"/>
      <c r="D203" s="54"/>
      <c r="E203" s="55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53"/>
      <c r="C204" s="43"/>
      <c r="D204" s="54"/>
      <c r="E204" s="55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53"/>
      <c r="C205" s="43"/>
      <c r="D205" s="54"/>
      <c r="E205" s="55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53"/>
      <c r="C206" s="43"/>
      <c r="D206" s="54"/>
      <c r="E206" s="55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53"/>
      <c r="C207" s="43"/>
      <c r="D207" s="54"/>
      <c r="E207" s="55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53"/>
      <c r="C208" s="43"/>
      <c r="D208" s="54"/>
      <c r="E208" s="55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53"/>
      <c r="C209" s="43"/>
      <c r="D209" s="54"/>
      <c r="E209" s="55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53"/>
      <c r="C210" s="43"/>
      <c r="D210" s="54"/>
      <c r="E210" s="55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53"/>
      <c r="C211" s="43"/>
      <c r="D211" s="54"/>
      <c r="E211" s="55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53"/>
      <c r="C212" s="43"/>
      <c r="D212" s="54"/>
      <c r="E212" s="55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53"/>
      <c r="C213" s="43"/>
      <c r="D213" s="54"/>
      <c r="E213" s="55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53"/>
      <c r="C214" s="43"/>
      <c r="D214" s="54"/>
      <c r="E214" s="55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53"/>
      <c r="C215" s="43"/>
      <c r="D215" s="54"/>
      <c r="E215" s="55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53"/>
      <c r="C216" s="43"/>
      <c r="D216" s="54"/>
      <c r="E216" s="55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53"/>
      <c r="C217" s="43"/>
      <c r="D217" s="54"/>
      <c r="E217" s="55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53"/>
      <c r="C218" s="43"/>
      <c r="D218" s="54"/>
      <c r="E218" s="55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53"/>
      <c r="C219" s="43"/>
      <c r="D219" s="54"/>
      <c r="E219" s="55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53"/>
      <c r="C220" s="43"/>
      <c r="D220" s="54"/>
      <c r="E220" s="55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53"/>
      <c r="C221" s="43"/>
      <c r="D221" s="54"/>
      <c r="E221" s="55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53"/>
      <c r="C222" s="43"/>
      <c r="D222" s="54"/>
      <c r="E222" s="55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53"/>
      <c r="C223" s="43"/>
      <c r="D223" s="54"/>
      <c r="E223" s="55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53"/>
      <c r="C224" s="43"/>
      <c r="D224" s="54"/>
      <c r="E224" s="55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53"/>
      <c r="C225" s="43"/>
      <c r="D225" s="54"/>
      <c r="E225" s="55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53"/>
      <c r="C226" s="43"/>
      <c r="D226" s="54"/>
      <c r="E226" s="55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53"/>
      <c r="C227" s="43"/>
      <c r="D227" s="54"/>
      <c r="E227" s="55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53"/>
      <c r="C228" s="43"/>
      <c r="D228" s="54"/>
      <c r="E228" s="55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53"/>
      <c r="C229" s="43"/>
      <c r="D229" s="54"/>
      <c r="E229" s="55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53"/>
      <c r="C230" s="43"/>
      <c r="D230" s="54"/>
      <c r="E230" s="55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53"/>
      <c r="C231" s="43"/>
      <c r="D231" s="54"/>
      <c r="E231" s="55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53"/>
      <c r="C232" s="43"/>
      <c r="D232" s="54"/>
      <c r="E232" s="55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53"/>
      <c r="C233" s="43"/>
      <c r="D233" s="54"/>
      <c r="E233" s="55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53"/>
      <c r="C234" s="43"/>
      <c r="D234" s="54"/>
      <c r="E234" s="55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53"/>
      <c r="C235" s="43"/>
      <c r="D235" s="54"/>
      <c r="E235" s="55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53"/>
      <c r="C236" s="43"/>
      <c r="D236" s="54"/>
      <c r="E236" s="55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53"/>
      <c r="C237" s="43"/>
      <c r="D237" s="54"/>
      <c r="E237" s="55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53"/>
      <c r="C238" s="43"/>
      <c r="D238" s="54"/>
      <c r="E238" s="55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53"/>
      <c r="C239" s="43"/>
      <c r="D239" s="54"/>
      <c r="E239" s="55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53"/>
      <c r="C240" s="43"/>
      <c r="D240" s="54"/>
      <c r="E240" s="55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53"/>
      <c r="C241" s="43"/>
      <c r="D241" s="54"/>
      <c r="E241" s="55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53"/>
      <c r="C242" s="43"/>
      <c r="D242" s="54"/>
      <c r="E242" s="55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53"/>
      <c r="C243" s="43"/>
      <c r="D243" s="54"/>
      <c r="E243" s="55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53"/>
      <c r="C244" s="43"/>
      <c r="D244" s="54"/>
      <c r="E244" s="55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53"/>
      <c r="C245" s="43"/>
      <c r="D245" s="54"/>
      <c r="E245" s="55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53"/>
      <c r="C246" s="43"/>
      <c r="D246" s="54"/>
      <c r="E246" s="55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53"/>
      <c r="C247" s="43"/>
      <c r="D247" s="54"/>
      <c r="E247" s="55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53"/>
      <c r="C248" s="43"/>
      <c r="D248" s="54"/>
      <c r="E248" s="55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53"/>
      <c r="C249" s="43"/>
      <c r="D249" s="54"/>
      <c r="E249" s="55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53"/>
      <c r="C250" s="43"/>
      <c r="D250" s="54"/>
      <c r="E250" s="55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53"/>
      <c r="C251" s="43"/>
      <c r="D251" s="54"/>
      <c r="E251" s="55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53"/>
      <c r="C252" s="43"/>
      <c r="D252" s="54"/>
      <c r="E252" s="55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53"/>
      <c r="C253" s="43"/>
      <c r="D253" s="54"/>
      <c r="E253" s="55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53"/>
      <c r="C254" s="43"/>
      <c r="D254" s="54"/>
      <c r="E254" s="55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53"/>
      <c r="C255" s="43"/>
      <c r="D255" s="54"/>
      <c r="E255" s="55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53"/>
      <c r="C256" s="43"/>
      <c r="D256" s="54"/>
      <c r="E256" s="55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53"/>
      <c r="C257" s="43"/>
      <c r="D257" s="54"/>
      <c r="E257" s="55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53"/>
      <c r="C258" s="43"/>
      <c r="D258" s="54"/>
      <c r="E258" s="55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53"/>
      <c r="C259" s="43"/>
      <c r="D259" s="54"/>
      <c r="E259" s="55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53"/>
      <c r="C260" s="43"/>
      <c r="D260" s="54"/>
      <c r="E260" s="55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53"/>
      <c r="C261" s="43"/>
      <c r="D261" s="54"/>
      <c r="E261" s="55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53"/>
      <c r="C262" s="43"/>
      <c r="D262" s="54"/>
      <c r="E262" s="55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53"/>
      <c r="C263" s="43"/>
      <c r="D263" s="54"/>
      <c r="E263" s="55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53"/>
      <c r="C264" s="43"/>
      <c r="D264" s="54"/>
      <c r="E264" s="55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53"/>
      <c r="C265" s="43"/>
      <c r="D265" s="54"/>
      <c r="E265" s="55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53"/>
      <c r="C266" s="43"/>
      <c r="D266" s="54"/>
      <c r="E266" s="55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53"/>
      <c r="C267" s="43"/>
      <c r="D267" s="54"/>
      <c r="E267" s="55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53"/>
      <c r="C268" s="43"/>
      <c r="D268" s="54"/>
      <c r="E268" s="55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53"/>
      <c r="C269" s="43"/>
      <c r="D269" s="54"/>
      <c r="E269" s="55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53"/>
      <c r="C270" s="43"/>
      <c r="D270" s="54"/>
      <c r="E270" s="55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53"/>
      <c r="C271" s="43"/>
      <c r="D271" s="54"/>
      <c r="E271" s="55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53"/>
      <c r="C272" s="43"/>
      <c r="D272" s="54"/>
      <c r="E272" s="55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53"/>
      <c r="C273" s="43"/>
      <c r="D273" s="54"/>
      <c r="E273" s="55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53"/>
      <c r="C274" s="43"/>
      <c r="D274" s="54"/>
      <c r="E274" s="55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53"/>
      <c r="C275" s="43"/>
      <c r="D275" s="54"/>
      <c r="E275" s="55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53"/>
      <c r="C276" s="43"/>
      <c r="D276" s="54"/>
      <c r="E276" s="55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53"/>
      <c r="C277" s="43"/>
      <c r="D277" s="54"/>
      <c r="E277" s="55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53"/>
      <c r="C278" s="43"/>
      <c r="D278" s="54"/>
      <c r="E278" s="55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53"/>
      <c r="C279" s="43"/>
      <c r="D279" s="54"/>
      <c r="E279" s="55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53"/>
      <c r="C280" s="43"/>
      <c r="D280" s="54"/>
      <c r="E280" s="55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53"/>
      <c r="C281" s="43"/>
      <c r="D281" s="54"/>
      <c r="E281" s="55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53"/>
      <c r="C282" s="43"/>
      <c r="D282" s="54"/>
      <c r="E282" s="55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53"/>
      <c r="C283" s="43"/>
      <c r="D283" s="54"/>
      <c r="E283" s="55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53"/>
      <c r="C284" s="43"/>
      <c r="D284" s="54"/>
      <c r="E284" s="55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53"/>
      <c r="C285" s="43"/>
      <c r="D285" s="54"/>
      <c r="E285" s="55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53"/>
      <c r="C286" s="43"/>
      <c r="D286" s="54"/>
      <c r="E286" s="55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53"/>
      <c r="C287" s="43"/>
      <c r="D287" s="54"/>
      <c r="E287" s="55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53"/>
      <c r="C288" s="43"/>
      <c r="D288" s="54"/>
      <c r="E288" s="55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53"/>
      <c r="C289" s="43"/>
      <c r="D289" s="54"/>
      <c r="E289" s="55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53"/>
      <c r="C290" s="43"/>
      <c r="D290" s="54"/>
      <c r="E290" s="55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53"/>
      <c r="C291" s="43"/>
      <c r="D291" s="54"/>
      <c r="E291" s="55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53"/>
      <c r="C292" s="43"/>
      <c r="D292" s="54"/>
      <c r="E292" s="55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53"/>
      <c r="C293" s="43"/>
      <c r="D293" s="54"/>
      <c r="E293" s="55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53"/>
      <c r="C294" s="43"/>
      <c r="D294" s="54"/>
      <c r="E294" s="55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53"/>
      <c r="C295" s="43"/>
      <c r="D295" s="54"/>
      <c r="E295" s="55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53"/>
      <c r="C296" s="43"/>
      <c r="D296" s="54"/>
      <c r="E296" s="55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53"/>
      <c r="C297" s="43"/>
      <c r="D297" s="54"/>
      <c r="E297" s="55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53"/>
      <c r="C298" s="43"/>
      <c r="D298" s="54"/>
      <c r="E298" s="55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53"/>
      <c r="C299" s="43"/>
      <c r="D299" s="54"/>
      <c r="E299" s="55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53"/>
      <c r="C300" s="43"/>
      <c r="D300" s="54"/>
      <c r="E300" s="55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53"/>
      <c r="C301" s="43"/>
      <c r="D301" s="54"/>
      <c r="E301" s="55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53"/>
      <c r="C302" s="43"/>
      <c r="D302" s="54"/>
      <c r="E302" s="55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53"/>
      <c r="C303" s="43"/>
      <c r="D303" s="54"/>
      <c r="E303" s="55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53"/>
      <c r="C304" s="43"/>
      <c r="D304" s="54"/>
      <c r="E304" s="55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53"/>
      <c r="C305" s="43"/>
      <c r="D305" s="54"/>
      <c r="E305" s="55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53"/>
      <c r="C306" s="43"/>
      <c r="D306" s="54"/>
      <c r="E306" s="55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53"/>
      <c r="C307" s="43"/>
      <c r="D307" s="54"/>
      <c r="E307" s="55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53"/>
      <c r="C308" s="43"/>
      <c r="D308" s="54"/>
      <c r="E308" s="55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53"/>
      <c r="C309" s="43"/>
      <c r="D309" s="54"/>
      <c r="E309" s="55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53"/>
      <c r="C310" s="43"/>
      <c r="D310" s="54"/>
      <c r="E310" s="55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53"/>
      <c r="C311" s="43"/>
      <c r="D311" s="54"/>
      <c r="E311" s="55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53"/>
      <c r="C312" s="43"/>
      <c r="D312" s="54"/>
      <c r="E312" s="55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53"/>
      <c r="C313" s="43"/>
      <c r="D313" s="54"/>
      <c r="E313" s="55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53"/>
      <c r="C314" s="43"/>
      <c r="D314" s="54"/>
      <c r="E314" s="55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53"/>
      <c r="C315" s="43"/>
      <c r="D315" s="54"/>
      <c r="E315" s="55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53"/>
      <c r="C316" s="43"/>
      <c r="D316" s="54"/>
      <c r="E316" s="55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53"/>
      <c r="C317" s="43"/>
      <c r="D317" s="54"/>
      <c r="E317" s="55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53"/>
      <c r="C318" s="43"/>
      <c r="D318" s="54"/>
      <c r="E318" s="55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53"/>
      <c r="C319" s="43"/>
      <c r="D319" s="54"/>
      <c r="E319" s="55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53"/>
      <c r="C320" s="43"/>
      <c r="D320" s="54"/>
      <c r="E320" s="55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53"/>
      <c r="C321" s="43"/>
      <c r="D321" s="54"/>
      <c r="E321" s="55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53"/>
      <c r="C322" s="43"/>
      <c r="D322" s="54"/>
      <c r="E322" s="55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53"/>
      <c r="C323" s="43"/>
      <c r="D323" s="54"/>
      <c r="E323" s="55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53"/>
      <c r="C324" s="43"/>
      <c r="D324" s="54"/>
      <c r="E324" s="55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53"/>
      <c r="C325" s="43"/>
      <c r="D325" s="54"/>
      <c r="E325" s="55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53"/>
      <c r="C326" s="43"/>
      <c r="D326" s="54"/>
      <c r="E326" s="55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53"/>
      <c r="C327" s="43"/>
      <c r="D327" s="54"/>
      <c r="E327" s="55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53"/>
      <c r="C328" s="43"/>
      <c r="D328" s="54"/>
      <c r="E328" s="55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53"/>
      <c r="C329" s="43"/>
      <c r="D329" s="54"/>
      <c r="E329" s="55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53"/>
      <c r="C330" s="43"/>
      <c r="D330" s="54"/>
      <c r="E330" s="55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53"/>
      <c r="C331" s="43"/>
      <c r="D331" s="54"/>
      <c r="E331" s="55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53"/>
      <c r="C332" s="43"/>
      <c r="D332" s="54"/>
      <c r="E332" s="55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53"/>
      <c r="C333" s="43"/>
      <c r="D333" s="54"/>
      <c r="E333" s="55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53"/>
      <c r="C334" s="43"/>
      <c r="D334" s="54"/>
      <c r="E334" s="55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53"/>
      <c r="C335" s="43"/>
      <c r="D335" s="54"/>
      <c r="E335" s="55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53"/>
      <c r="C336" s="43"/>
      <c r="D336" s="54"/>
      <c r="E336" s="55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53"/>
      <c r="C337" s="43"/>
      <c r="D337" s="54"/>
      <c r="E337" s="55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53"/>
      <c r="C338" s="43"/>
      <c r="D338" s="54"/>
      <c r="E338" s="55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53"/>
      <c r="C339" s="43"/>
      <c r="D339" s="54"/>
      <c r="E339" s="55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53"/>
      <c r="C340" s="43"/>
      <c r="D340" s="54"/>
      <c r="E340" s="55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53"/>
      <c r="C341" s="43"/>
      <c r="D341" s="54"/>
      <c r="E341" s="55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53"/>
      <c r="C342" s="43"/>
      <c r="D342" s="54"/>
      <c r="E342" s="55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53"/>
      <c r="C343" s="43"/>
      <c r="D343" s="54"/>
      <c r="E343" s="55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53"/>
      <c r="C344" s="43"/>
      <c r="D344" s="54"/>
      <c r="E344" s="55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53"/>
      <c r="C345" s="43"/>
      <c r="D345" s="54"/>
      <c r="E345" s="55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53"/>
      <c r="C346" s="43"/>
      <c r="D346" s="54"/>
      <c r="E346" s="55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53"/>
      <c r="C347" s="43"/>
      <c r="D347" s="54"/>
      <c r="E347" s="55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53"/>
      <c r="C348" s="43"/>
      <c r="D348" s="54"/>
      <c r="E348" s="55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53"/>
      <c r="C349" s="43"/>
      <c r="D349" s="54"/>
      <c r="E349" s="55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53"/>
      <c r="C350" s="43"/>
      <c r="D350" s="54"/>
      <c r="E350" s="55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53"/>
      <c r="C351" s="43"/>
      <c r="D351" s="54"/>
      <c r="E351" s="55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53"/>
      <c r="C352" s="43"/>
      <c r="D352" s="54"/>
      <c r="E352" s="55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53"/>
      <c r="C353" s="43"/>
      <c r="D353" s="54"/>
      <c r="E353" s="55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53"/>
      <c r="C354" s="43"/>
      <c r="D354" s="54"/>
      <c r="E354" s="55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53"/>
      <c r="C355" s="43"/>
      <c r="D355" s="54"/>
      <c r="E355" s="55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53"/>
      <c r="C356" s="43"/>
      <c r="D356" s="54"/>
      <c r="E356" s="55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53"/>
      <c r="C357" s="43"/>
      <c r="D357" s="54"/>
      <c r="E357" s="55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53"/>
      <c r="C358" s="43"/>
      <c r="D358" s="54"/>
      <c r="E358" s="55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53"/>
      <c r="C359" s="43"/>
      <c r="D359" s="54"/>
      <c r="E359" s="55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53"/>
      <c r="C360" s="43"/>
      <c r="D360" s="54"/>
      <c r="E360" s="55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53"/>
      <c r="C361" s="43"/>
      <c r="D361" s="54"/>
      <c r="E361" s="55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53"/>
      <c r="C362" s="43"/>
      <c r="D362" s="54"/>
      <c r="E362" s="55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53"/>
      <c r="C363" s="43"/>
      <c r="D363" s="54"/>
      <c r="E363" s="55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53"/>
      <c r="C364" s="43"/>
      <c r="D364" s="54"/>
      <c r="E364" s="55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53"/>
      <c r="C365" s="43"/>
      <c r="D365" s="54"/>
      <c r="E365" s="55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53"/>
      <c r="C366" s="43"/>
      <c r="D366" s="54"/>
      <c r="E366" s="55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53"/>
      <c r="C367" s="43"/>
      <c r="D367" s="54"/>
      <c r="E367" s="55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53"/>
      <c r="C368" s="43"/>
      <c r="D368" s="54"/>
      <c r="E368" s="55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53"/>
      <c r="C369" s="43"/>
      <c r="D369" s="54"/>
      <c r="E369" s="55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53"/>
      <c r="C370" s="43"/>
      <c r="D370" s="54"/>
      <c r="E370" s="55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53"/>
      <c r="C371" s="43"/>
      <c r="D371" s="54"/>
      <c r="E371" s="55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53"/>
      <c r="C372" s="43"/>
      <c r="D372" s="54"/>
      <c r="E372" s="55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53"/>
      <c r="C373" s="43"/>
      <c r="D373" s="54"/>
      <c r="E373" s="55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53"/>
      <c r="C374" s="43"/>
      <c r="D374" s="54"/>
      <c r="E374" s="55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53"/>
      <c r="C375" s="43"/>
      <c r="D375" s="54"/>
      <c r="E375" s="55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53"/>
      <c r="C376" s="43"/>
      <c r="D376" s="54"/>
      <c r="E376" s="55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53"/>
      <c r="C377" s="43"/>
      <c r="D377" s="54"/>
      <c r="E377" s="55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53"/>
      <c r="C378" s="43"/>
      <c r="D378" s="54"/>
      <c r="E378" s="55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53"/>
      <c r="C379" s="43"/>
      <c r="D379" s="54"/>
      <c r="E379" s="55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53"/>
      <c r="C380" s="43"/>
      <c r="D380" s="54"/>
      <c r="E380" s="55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53"/>
      <c r="C381" s="43"/>
      <c r="D381" s="54"/>
      <c r="E381" s="55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53"/>
      <c r="C382" s="43"/>
      <c r="D382" s="54"/>
      <c r="E382" s="55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53"/>
      <c r="C383" s="43"/>
      <c r="D383" s="54"/>
      <c r="E383" s="55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53"/>
      <c r="C384" s="43"/>
      <c r="D384" s="54"/>
      <c r="E384" s="55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53"/>
      <c r="C385" s="43"/>
      <c r="D385" s="54"/>
      <c r="E385" s="55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53"/>
      <c r="C386" s="43"/>
      <c r="D386" s="54"/>
      <c r="E386" s="55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53"/>
      <c r="C387" s="43"/>
      <c r="D387" s="54"/>
      <c r="E387" s="55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53"/>
      <c r="C388" s="43"/>
      <c r="D388" s="54"/>
      <c r="E388" s="55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53"/>
      <c r="C389" s="43"/>
      <c r="D389" s="54"/>
      <c r="E389" s="55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53"/>
      <c r="C390" s="43"/>
      <c r="D390" s="54"/>
      <c r="E390" s="55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53"/>
      <c r="C391" s="43"/>
      <c r="D391" s="54"/>
      <c r="E391" s="55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53"/>
      <c r="C392" s="43"/>
      <c r="D392" s="54"/>
      <c r="E392" s="55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53"/>
      <c r="C393" s="43"/>
      <c r="D393" s="54"/>
      <c r="E393" s="55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53"/>
      <c r="C394" s="43"/>
      <c r="D394" s="54"/>
      <c r="E394" s="55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53"/>
      <c r="C395" s="43"/>
      <c r="D395" s="54"/>
      <c r="E395" s="55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53"/>
      <c r="C396" s="43"/>
      <c r="D396" s="54"/>
      <c r="E396" s="55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53"/>
      <c r="C397" s="43"/>
      <c r="D397" s="54"/>
      <c r="E397" s="55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53"/>
      <c r="C398" s="43"/>
      <c r="D398" s="54"/>
      <c r="E398" s="55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53"/>
      <c r="C399" s="43"/>
      <c r="D399" s="54"/>
      <c r="E399" s="55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53"/>
      <c r="C400" s="43"/>
      <c r="D400" s="54"/>
      <c r="E400" s="55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53"/>
      <c r="C401" s="43"/>
      <c r="D401" s="54"/>
      <c r="E401" s="55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53"/>
      <c r="C402" s="43"/>
      <c r="D402" s="54"/>
      <c r="E402" s="55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53"/>
      <c r="C403" s="43"/>
      <c r="D403" s="54"/>
      <c r="E403" s="55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53"/>
      <c r="C404" s="43"/>
      <c r="D404" s="54"/>
      <c r="E404" s="55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53"/>
      <c r="C405" s="43"/>
      <c r="D405" s="54"/>
      <c r="E405" s="55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53"/>
      <c r="C406" s="43"/>
      <c r="D406" s="54"/>
      <c r="E406" s="55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53"/>
      <c r="C407" s="43"/>
      <c r="D407" s="54"/>
      <c r="E407" s="55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53"/>
      <c r="C408" s="43"/>
      <c r="D408" s="54"/>
      <c r="E408" s="55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53"/>
      <c r="C409" s="43"/>
      <c r="D409" s="54"/>
      <c r="E409" s="55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53"/>
      <c r="C410" s="43"/>
      <c r="D410" s="54"/>
      <c r="E410" s="55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53"/>
      <c r="C411" s="43"/>
      <c r="D411" s="54"/>
      <c r="E411" s="55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53"/>
      <c r="C412" s="43"/>
      <c r="D412" s="54"/>
      <c r="E412" s="55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53"/>
      <c r="C413" s="43"/>
      <c r="D413" s="54"/>
      <c r="E413" s="55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53"/>
      <c r="C414" s="43"/>
      <c r="D414" s="54"/>
      <c r="E414" s="55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53"/>
      <c r="C415" s="43"/>
      <c r="D415" s="54"/>
      <c r="E415" s="55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53"/>
      <c r="C416" s="43"/>
      <c r="D416" s="54"/>
      <c r="E416" s="55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53"/>
      <c r="C417" s="43"/>
      <c r="D417" s="54"/>
      <c r="E417" s="55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53"/>
      <c r="C418" s="43"/>
      <c r="D418" s="54"/>
      <c r="E418" s="55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53"/>
      <c r="C419" s="43"/>
      <c r="D419" s="54"/>
      <c r="E419" s="55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53"/>
      <c r="C420" s="43"/>
      <c r="D420" s="54"/>
      <c r="E420" s="55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53"/>
      <c r="C421" s="43"/>
      <c r="D421" s="54"/>
      <c r="E421" s="55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53"/>
      <c r="C422" s="43"/>
      <c r="D422" s="54"/>
      <c r="E422" s="55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53"/>
      <c r="C423" s="43"/>
      <c r="D423" s="54"/>
      <c r="E423" s="55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53"/>
      <c r="C424" s="43"/>
      <c r="D424" s="54"/>
      <c r="E424" s="55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53"/>
      <c r="C425" s="43"/>
      <c r="D425" s="54"/>
      <c r="E425" s="55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53"/>
      <c r="C426" s="43"/>
      <c r="D426" s="54"/>
      <c r="E426" s="55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53"/>
      <c r="C427" s="43"/>
      <c r="D427" s="54"/>
      <c r="E427" s="55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53"/>
      <c r="C428" s="43"/>
      <c r="D428" s="54"/>
      <c r="E428" s="55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53"/>
      <c r="C429" s="43"/>
      <c r="D429" s="54"/>
      <c r="E429" s="55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53"/>
      <c r="C430" s="43"/>
      <c r="D430" s="54"/>
      <c r="E430" s="55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53"/>
      <c r="C431" s="43"/>
      <c r="D431" s="54"/>
      <c r="E431" s="55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53"/>
      <c r="C432" s="43"/>
      <c r="D432" s="54"/>
      <c r="E432" s="55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53"/>
      <c r="C433" s="43"/>
      <c r="D433" s="54"/>
      <c r="E433" s="55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53"/>
      <c r="C434" s="43"/>
      <c r="D434" s="54"/>
      <c r="E434" s="55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53"/>
      <c r="C435" s="43"/>
      <c r="D435" s="54"/>
      <c r="E435" s="55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53"/>
      <c r="C436" s="43"/>
      <c r="D436" s="54"/>
      <c r="E436" s="55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53"/>
      <c r="C437" s="43"/>
      <c r="D437" s="54"/>
      <c r="E437" s="55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53"/>
      <c r="C438" s="43"/>
      <c r="D438" s="54"/>
      <c r="E438" s="55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53"/>
      <c r="C439" s="43"/>
      <c r="D439" s="54"/>
      <c r="E439" s="55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53"/>
      <c r="C440" s="43"/>
      <c r="D440" s="54"/>
      <c r="E440" s="55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53"/>
      <c r="C441" s="43"/>
      <c r="D441" s="54"/>
      <c r="E441" s="55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53"/>
      <c r="C442" s="43"/>
      <c r="D442" s="54"/>
      <c r="E442" s="55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53"/>
      <c r="C443" s="43"/>
      <c r="D443" s="54"/>
      <c r="E443" s="55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53"/>
      <c r="C444" s="43"/>
      <c r="D444" s="54"/>
      <c r="E444" s="55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53"/>
      <c r="C445" s="43"/>
      <c r="D445" s="54"/>
      <c r="E445" s="55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53"/>
      <c r="C446" s="43"/>
      <c r="D446" s="54"/>
      <c r="E446" s="55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53"/>
      <c r="C447" s="43"/>
      <c r="D447" s="54"/>
      <c r="E447" s="55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53"/>
      <c r="C448" s="43"/>
      <c r="D448" s="54"/>
      <c r="E448" s="55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53"/>
      <c r="C449" s="43"/>
      <c r="D449" s="54"/>
      <c r="E449" s="55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53"/>
      <c r="C450" s="43"/>
      <c r="D450" s="54"/>
      <c r="E450" s="55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53"/>
      <c r="C451" s="43"/>
      <c r="D451" s="54"/>
      <c r="E451" s="55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53"/>
      <c r="C452" s="43"/>
      <c r="D452" s="54"/>
      <c r="E452" s="55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53"/>
      <c r="C453" s="43"/>
      <c r="D453" s="54"/>
      <c r="E453" s="55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53"/>
      <c r="C454" s="43"/>
      <c r="D454" s="54"/>
      <c r="E454" s="55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53"/>
      <c r="C455" s="43"/>
      <c r="D455" s="54"/>
      <c r="E455" s="55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53"/>
      <c r="C456" s="43"/>
      <c r="D456" s="54"/>
      <c r="E456" s="55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53"/>
      <c r="C457" s="43"/>
      <c r="D457" s="54"/>
      <c r="E457" s="55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53"/>
      <c r="C458" s="43"/>
      <c r="D458" s="54"/>
      <c r="E458" s="55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53"/>
      <c r="C459" s="43"/>
      <c r="D459" s="54"/>
      <c r="E459" s="55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53"/>
      <c r="C460" s="43"/>
      <c r="D460" s="54"/>
      <c r="E460" s="55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53"/>
      <c r="C461" s="43"/>
      <c r="D461" s="54"/>
      <c r="E461" s="55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53"/>
      <c r="C462" s="43"/>
      <c r="D462" s="54"/>
      <c r="E462" s="55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53"/>
      <c r="C463" s="43"/>
      <c r="D463" s="54"/>
      <c r="E463" s="55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53"/>
      <c r="C464" s="43"/>
      <c r="D464" s="54"/>
      <c r="E464" s="55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53"/>
      <c r="C465" s="43"/>
      <c r="D465" s="54"/>
      <c r="E465" s="55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53"/>
      <c r="C466" s="43"/>
      <c r="D466" s="54"/>
      <c r="E466" s="55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53"/>
      <c r="C467" s="43"/>
      <c r="D467" s="54"/>
      <c r="E467" s="55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53"/>
      <c r="C468" s="43"/>
      <c r="D468" s="54"/>
      <c r="E468" s="55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53"/>
      <c r="C469" s="43"/>
      <c r="D469" s="54"/>
      <c r="E469" s="55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53"/>
      <c r="C470" s="43"/>
      <c r="D470" s="54"/>
      <c r="E470" s="55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53"/>
      <c r="C471" s="43"/>
      <c r="D471" s="54"/>
      <c r="E471" s="55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53"/>
      <c r="C472" s="43"/>
      <c r="D472" s="54"/>
      <c r="E472" s="55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53"/>
      <c r="C473" s="43"/>
      <c r="D473" s="54"/>
      <c r="E473" s="55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53"/>
      <c r="C474" s="43"/>
      <c r="D474" s="54"/>
      <c r="E474" s="55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53"/>
      <c r="C475" s="43"/>
      <c r="D475" s="54"/>
      <c r="E475" s="55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53"/>
      <c r="C476" s="43"/>
      <c r="D476" s="54"/>
      <c r="E476" s="55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53"/>
      <c r="C477" s="43"/>
      <c r="D477" s="54"/>
      <c r="E477" s="55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53"/>
      <c r="C478" s="43"/>
      <c r="D478" s="54"/>
      <c r="E478" s="55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53"/>
      <c r="C479" s="43"/>
      <c r="D479" s="54"/>
      <c r="E479" s="55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53"/>
      <c r="C480" s="43"/>
      <c r="D480" s="54"/>
      <c r="E480" s="55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53"/>
      <c r="C481" s="43"/>
      <c r="D481" s="54"/>
      <c r="E481" s="55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53"/>
      <c r="C482" s="43"/>
      <c r="D482" s="54"/>
      <c r="E482" s="55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53"/>
      <c r="C483" s="43"/>
      <c r="D483" s="54"/>
      <c r="E483" s="55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53"/>
      <c r="C484" s="43"/>
      <c r="D484" s="54"/>
      <c r="E484" s="55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53"/>
      <c r="C485" s="43"/>
      <c r="D485" s="54"/>
      <c r="E485" s="55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53"/>
      <c r="C486" s="43"/>
      <c r="D486" s="54"/>
      <c r="E486" s="55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53"/>
      <c r="C487" s="43"/>
      <c r="D487" s="54"/>
      <c r="E487" s="55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53"/>
      <c r="C488" s="43"/>
      <c r="D488" s="54"/>
      <c r="E488" s="55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53"/>
      <c r="C489" s="43"/>
      <c r="D489" s="54"/>
      <c r="E489" s="55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53"/>
      <c r="C490" s="43"/>
      <c r="D490" s="54"/>
      <c r="E490" s="55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53"/>
      <c r="C491" s="43"/>
      <c r="D491" s="54"/>
      <c r="E491" s="55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53"/>
      <c r="C492" s="43"/>
      <c r="D492" s="54"/>
      <c r="E492" s="55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53"/>
      <c r="C493" s="43"/>
      <c r="D493" s="54"/>
      <c r="E493" s="55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53"/>
      <c r="C494" s="43"/>
      <c r="D494" s="54"/>
      <c r="E494" s="55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53"/>
      <c r="C495" s="43"/>
      <c r="D495" s="54"/>
      <c r="E495" s="55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53"/>
      <c r="C496" s="43"/>
      <c r="D496" s="54"/>
      <c r="E496" s="55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53"/>
      <c r="C497" s="43"/>
      <c r="D497" s="54"/>
      <c r="E497" s="55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53"/>
      <c r="C498" s="43"/>
      <c r="D498" s="54"/>
      <c r="E498" s="55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53"/>
      <c r="C499" s="43"/>
      <c r="D499" s="54"/>
      <c r="E499" s="55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53"/>
      <c r="C500" s="43"/>
      <c r="D500" s="54"/>
      <c r="E500" s="55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53"/>
      <c r="C501" s="43"/>
      <c r="D501" s="54"/>
      <c r="E501" s="55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53"/>
      <c r="C502" s="43"/>
      <c r="D502" s="54"/>
      <c r="E502" s="55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53"/>
      <c r="C503" s="43"/>
      <c r="D503" s="54"/>
      <c r="E503" s="55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53"/>
      <c r="C504" s="43"/>
      <c r="D504" s="54"/>
      <c r="E504" s="55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53"/>
      <c r="C505" s="43"/>
      <c r="D505" s="54"/>
      <c r="E505" s="55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53"/>
      <c r="C506" s="43"/>
      <c r="D506" s="54"/>
      <c r="E506" s="55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53"/>
      <c r="C507" s="43"/>
      <c r="D507" s="54"/>
      <c r="E507" s="55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53"/>
      <c r="C508" s="43"/>
      <c r="D508" s="54"/>
      <c r="E508" s="55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53"/>
      <c r="C509" s="43"/>
      <c r="D509" s="54"/>
      <c r="E509" s="55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53"/>
      <c r="C510" s="43"/>
      <c r="D510" s="54"/>
      <c r="E510" s="55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53"/>
      <c r="C511" s="43"/>
      <c r="D511" s="54"/>
      <c r="E511" s="55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53"/>
      <c r="C512" s="43"/>
      <c r="D512" s="54"/>
      <c r="E512" s="55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53"/>
      <c r="C513" s="43"/>
      <c r="D513" s="54"/>
      <c r="E513" s="55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53"/>
      <c r="C514" s="43"/>
      <c r="D514" s="54"/>
      <c r="E514" s="55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53"/>
      <c r="C515" s="43"/>
      <c r="D515" s="54"/>
      <c r="E515" s="55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53"/>
      <c r="C516" s="43"/>
      <c r="D516" s="54"/>
      <c r="E516" s="55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53"/>
      <c r="C517" s="43"/>
      <c r="D517" s="54"/>
      <c r="E517" s="55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53"/>
      <c r="C518" s="43"/>
      <c r="D518" s="54"/>
      <c r="E518" s="55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53"/>
      <c r="C519" s="43"/>
      <c r="D519" s="54"/>
      <c r="E519" s="55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53"/>
      <c r="C520" s="43"/>
      <c r="D520" s="54"/>
      <c r="E520" s="55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53"/>
      <c r="C521" s="43"/>
      <c r="D521" s="54"/>
      <c r="E521" s="55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53"/>
      <c r="C522" s="43"/>
      <c r="D522" s="54"/>
      <c r="E522" s="55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53"/>
      <c r="C523" s="43"/>
      <c r="D523" s="54"/>
      <c r="E523" s="55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53"/>
      <c r="C524" s="43"/>
      <c r="D524" s="54"/>
      <c r="E524" s="55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53"/>
      <c r="C525" s="43"/>
      <c r="D525" s="54"/>
      <c r="E525" s="55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53"/>
      <c r="C526" s="43"/>
      <c r="D526" s="54"/>
      <c r="E526" s="55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53"/>
      <c r="C527" s="43"/>
      <c r="D527" s="54"/>
      <c r="E527" s="55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53"/>
      <c r="C528" s="43"/>
      <c r="D528" s="54"/>
      <c r="E528" s="55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53"/>
      <c r="C529" s="43"/>
      <c r="D529" s="54"/>
      <c r="E529" s="55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53"/>
      <c r="C530" s="43"/>
      <c r="D530" s="54"/>
      <c r="E530" s="55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53"/>
      <c r="C531" s="43"/>
      <c r="D531" s="54"/>
      <c r="E531" s="55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53"/>
      <c r="C532" s="43"/>
      <c r="D532" s="54"/>
      <c r="E532" s="55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53"/>
      <c r="C533" s="43"/>
      <c r="D533" s="54"/>
      <c r="E533" s="55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53"/>
      <c r="C534" s="43"/>
      <c r="D534" s="54"/>
      <c r="E534" s="55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53"/>
      <c r="C535" s="43"/>
      <c r="D535" s="54"/>
      <c r="E535" s="55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53"/>
      <c r="C536" s="43"/>
      <c r="D536" s="54"/>
      <c r="E536" s="55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53"/>
      <c r="C537" s="43"/>
      <c r="D537" s="54"/>
      <c r="E537" s="55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53"/>
      <c r="C538" s="43"/>
      <c r="D538" s="54"/>
      <c r="E538" s="55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53"/>
      <c r="C539" s="43"/>
      <c r="D539" s="54"/>
      <c r="E539" s="55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53"/>
      <c r="C540" s="43"/>
      <c r="D540" s="54"/>
      <c r="E540" s="55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53"/>
      <c r="C541" s="43"/>
      <c r="D541" s="54"/>
      <c r="E541" s="55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53"/>
      <c r="C542" s="43"/>
      <c r="D542" s="54"/>
      <c r="E542" s="55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53"/>
      <c r="C543" s="43"/>
      <c r="D543" s="54"/>
      <c r="E543" s="55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53"/>
      <c r="C544" s="43"/>
      <c r="D544" s="54"/>
      <c r="E544" s="55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53"/>
      <c r="C545" s="43"/>
      <c r="D545" s="54"/>
      <c r="E545" s="55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53"/>
      <c r="C546" s="43"/>
      <c r="D546" s="54"/>
      <c r="E546" s="55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53"/>
      <c r="C547" s="43"/>
      <c r="D547" s="54"/>
      <c r="E547" s="55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53"/>
      <c r="C548" s="43"/>
      <c r="D548" s="54"/>
      <c r="E548" s="55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53"/>
      <c r="C549" s="43"/>
      <c r="D549" s="54"/>
      <c r="E549" s="55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53"/>
      <c r="C550" s="43"/>
      <c r="D550" s="54"/>
      <c r="E550" s="55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53"/>
      <c r="C551" s="43"/>
      <c r="D551" s="54"/>
      <c r="E551" s="55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53"/>
      <c r="C552" s="43"/>
      <c r="D552" s="54"/>
      <c r="E552" s="55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53"/>
      <c r="C553" s="43"/>
      <c r="D553" s="54"/>
      <c r="E553" s="55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53"/>
      <c r="C554" s="43"/>
      <c r="D554" s="54"/>
      <c r="E554" s="55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53"/>
      <c r="C555" s="43"/>
      <c r="D555" s="54"/>
      <c r="E555" s="55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53"/>
      <c r="C556" s="43"/>
      <c r="D556" s="54"/>
      <c r="E556" s="55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53"/>
      <c r="C557" s="43"/>
      <c r="D557" s="54"/>
      <c r="E557" s="55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53"/>
      <c r="C558" s="43"/>
      <c r="D558" s="54"/>
      <c r="E558" s="55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53"/>
      <c r="C559" s="43"/>
      <c r="D559" s="54"/>
      <c r="E559" s="55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53"/>
      <c r="C560" s="43"/>
      <c r="D560" s="54"/>
      <c r="E560" s="55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53"/>
      <c r="C561" s="43"/>
      <c r="D561" s="54"/>
      <c r="E561" s="55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53"/>
      <c r="C562" s="43"/>
      <c r="D562" s="54"/>
      <c r="E562" s="55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53"/>
      <c r="C563" s="43"/>
      <c r="D563" s="54"/>
      <c r="E563" s="55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53"/>
      <c r="C564" s="43"/>
      <c r="D564" s="54"/>
      <c r="E564" s="55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53"/>
      <c r="C565" s="43"/>
      <c r="D565" s="54"/>
      <c r="E565" s="55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53"/>
      <c r="C566" s="43"/>
      <c r="D566" s="54"/>
      <c r="E566" s="55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53"/>
      <c r="C567" s="43"/>
      <c r="D567" s="54"/>
      <c r="E567" s="55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53"/>
      <c r="C568" s="43"/>
      <c r="D568" s="54"/>
      <c r="E568" s="55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53"/>
      <c r="C569" s="43"/>
      <c r="D569" s="54"/>
      <c r="E569" s="55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53"/>
      <c r="C570" s="43"/>
      <c r="D570" s="54"/>
      <c r="E570" s="55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53"/>
      <c r="C571" s="43"/>
      <c r="D571" s="54"/>
      <c r="E571" s="55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53"/>
      <c r="C572" s="43"/>
      <c r="D572" s="54"/>
      <c r="E572" s="55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53"/>
      <c r="C573" s="43"/>
      <c r="D573" s="54"/>
      <c r="E573" s="55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53"/>
      <c r="C574" s="43"/>
      <c r="D574" s="54"/>
      <c r="E574" s="55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53"/>
      <c r="C575" s="43"/>
      <c r="D575" s="54"/>
      <c r="E575" s="55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53"/>
      <c r="C576" s="43"/>
      <c r="D576" s="54"/>
      <c r="E576" s="55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53"/>
      <c r="C577" s="43"/>
      <c r="D577" s="54"/>
      <c r="E577" s="55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53"/>
      <c r="C578" s="43"/>
      <c r="D578" s="54"/>
      <c r="E578" s="55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53"/>
      <c r="C579" s="43"/>
      <c r="D579" s="54"/>
      <c r="E579" s="55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53"/>
      <c r="C580" s="43"/>
      <c r="D580" s="54"/>
      <c r="E580" s="55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53"/>
      <c r="C581" s="43"/>
      <c r="D581" s="54"/>
      <c r="E581" s="55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53"/>
      <c r="C582" s="43"/>
      <c r="D582" s="54"/>
      <c r="E582" s="55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53"/>
      <c r="C583" s="43"/>
      <c r="D583" s="54"/>
      <c r="E583" s="55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53"/>
      <c r="C584" s="43"/>
      <c r="D584" s="54"/>
      <c r="E584" s="55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53"/>
      <c r="C585" s="43"/>
      <c r="D585" s="54"/>
      <c r="E585" s="55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53"/>
      <c r="C586" s="43"/>
      <c r="D586" s="54"/>
      <c r="E586" s="55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53"/>
      <c r="C587" s="43"/>
      <c r="D587" s="54"/>
      <c r="E587" s="55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53"/>
      <c r="C588" s="43"/>
      <c r="D588" s="54"/>
      <c r="E588" s="55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53"/>
      <c r="C589" s="43"/>
      <c r="D589" s="54"/>
      <c r="E589" s="55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53"/>
      <c r="C590" s="43"/>
      <c r="D590" s="54"/>
      <c r="E590" s="55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53"/>
      <c r="C591" s="43"/>
      <c r="D591" s="54"/>
      <c r="E591" s="55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53"/>
      <c r="C592" s="43"/>
      <c r="D592" s="54"/>
      <c r="E592" s="55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53"/>
      <c r="C593" s="43"/>
      <c r="D593" s="54"/>
      <c r="E593" s="55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53"/>
      <c r="C594" s="43"/>
      <c r="D594" s="54"/>
      <c r="E594" s="55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53"/>
      <c r="C595" s="43"/>
      <c r="D595" s="54"/>
      <c r="E595" s="55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53"/>
      <c r="C596" s="43"/>
      <c r="D596" s="54"/>
      <c r="E596" s="55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53"/>
      <c r="C597" s="43"/>
      <c r="D597" s="54"/>
      <c r="E597" s="55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53"/>
      <c r="C598" s="43"/>
      <c r="D598" s="54"/>
      <c r="E598" s="55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53"/>
      <c r="C599" s="43"/>
      <c r="D599" s="54"/>
      <c r="E599" s="55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53"/>
      <c r="C600" s="43"/>
      <c r="D600" s="54"/>
      <c r="E600" s="55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53"/>
      <c r="C601" s="43"/>
      <c r="D601" s="54"/>
      <c r="E601" s="55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53"/>
      <c r="C602" s="43"/>
      <c r="D602" s="54"/>
      <c r="E602" s="55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53"/>
      <c r="C603" s="43"/>
      <c r="D603" s="54"/>
      <c r="E603" s="55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53"/>
      <c r="C604" s="43"/>
      <c r="D604" s="54"/>
      <c r="E604" s="55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53"/>
      <c r="C605" s="43"/>
      <c r="D605" s="54"/>
      <c r="E605" s="55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53"/>
      <c r="C606" s="43"/>
      <c r="D606" s="54"/>
      <c r="E606" s="55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53"/>
      <c r="C607" s="43"/>
      <c r="D607" s="54"/>
      <c r="E607" s="55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53"/>
      <c r="C608" s="43"/>
      <c r="D608" s="54"/>
      <c r="E608" s="55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53"/>
      <c r="C609" s="43"/>
      <c r="D609" s="54"/>
      <c r="E609" s="55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53"/>
      <c r="C610" s="43"/>
      <c r="D610" s="54"/>
      <c r="E610" s="55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53"/>
      <c r="C611" s="43"/>
      <c r="D611" s="54"/>
      <c r="E611" s="55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53"/>
      <c r="C612" s="43"/>
      <c r="D612" s="54"/>
      <c r="E612" s="55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53"/>
      <c r="C613" s="43"/>
      <c r="D613" s="54"/>
      <c r="E613" s="55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53"/>
      <c r="C614" s="43"/>
      <c r="D614" s="54"/>
      <c r="E614" s="55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53"/>
      <c r="C615" s="43"/>
      <c r="D615" s="54"/>
      <c r="E615" s="55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53"/>
      <c r="C616" s="43"/>
      <c r="D616" s="54"/>
      <c r="E616" s="55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53"/>
      <c r="C617" s="43"/>
      <c r="D617" s="54"/>
      <c r="E617" s="55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53"/>
      <c r="C618" s="43"/>
      <c r="D618" s="54"/>
      <c r="E618" s="55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53"/>
      <c r="C619" s="43"/>
      <c r="D619" s="54"/>
      <c r="E619" s="55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53"/>
      <c r="C620" s="43"/>
      <c r="D620" s="54"/>
      <c r="E620" s="55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53"/>
      <c r="C621" s="43"/>
      <c r="D621" s="54"/>
      <c r="E621" s="55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53"/>
      <c r="C622" s="43"/>
      <c r="D622" s="54"/>
      <c r="E622" s="55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53"/>
      <c r="C623" s="43"/>
      <c r="D623" s="54"/>
      <c r="E623" s="55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53"/>
      <c r="C624" s="43"/>
      <c r="D624" s="54"/>
      <c r="E624" s="55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53"/>
      <c r="C625" s="43"/>
      <c r="D625" s="54"/>
      <c r="E625" s="55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53"/>
      <c r="C626" s="43"/>
      <c r="D626" s="54"/>
      <c r="E626" s="55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53"/>
      <c r="C627" s="43"/>
      <c r="D627" s="54"/>
      <c r="E627" s="55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53"/>
      <c r="C628" s="43"/>
      <c r="D628" s="54"/>
      <c r="E628" s="55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53"/>
      <c r="C629" s="43"/>
      <c r="D629" s="54"/>
      <c r="E629" s="55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53"/>
      <c r="C630" s="43"/>
      <c r="D630" s="54"/>
      <c r="E630" s="55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53"/>
      <c r="C631" s="43"/>
      <c r="D631" s="54"/>
      <c r="E631" s="55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53"/>
      <c r="C632" s="43"/>
      <c r="D632" s="54"/>
      <c r="E632" s="55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53"/>
      <c r="C633" s="43"/>
      <c r="D633" s="54"/>
      <c r="E633" s="55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53"/>
      <c r="C634" s="43"/>
      <c r="D634" s="54"/>
      <c r="E634" s="55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53"/>
      <c r="C635" s="43"/>
      <c r="D635" s="54"/>
      <c r="E635" s="55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53"/>
      <c r="C636" s="43"/>
      <c r="D636" s="54"/>
      <c r="E636" s="55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53"/>
      <c r="C637" s="43"/>
      <c r="D637" s="54"/>
      <c r="E637" s="55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53"/>
      <c r="C638" s="43"/>
      <c r="D638" s="54"/>
      <c r="E638" s="55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53"/>
      <c r="C639" s="43"/>
      <c r="D639" s="54"/>
      <c r="E639" s="55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53"/>
      <c r="C640" s="43"/>
      <c r="D640" s="54"/>
      <c r="E640" s="55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53"/>
      <c r="C641" s="43"/>
      <c r="D641" s="54"/>
      <c r="E641" s="55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53"/>
      <c r="C642" s="43"/>
      <c r="D642" s="54"/>
      <c r="E642" s="55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53"/>
      <c r="C643" s="43"/>
      <c r="D643" s="54"/>
      <c r="E643" s="55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53"/>
      <c r="C644" s="43"/>
      <c r="D644" s="54"/>
      <c r="E644" s="55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53"/>
      <c r="C645" s="43"/>
      <c r="D645" s="54"/>
      <c r="E645" s="55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53"/>
      <c r="C646" s="43"/>
      <c r="D646" s="54"/>
      <c r="E646" s="55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53"/>
      <c r="C647" s="43"/>
      <c r="D647" s="54"/>
      <c r="E647" s="55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53"/>
      <c r="C648" s="43"/>
      <c r="D648" s="54"/>
      <c r="E648" s="55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53"/>
      <c r="C649" s="43"/>
      <c r="D649" s="54"/>
      <c r="E649" s="55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53"/>
      <c r="C650" s="43"/>
      <c r="D650" s="54"/>
      <c r="E650" s="55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53"/>
      <c r="C651" s="43"/>
      <c r="D651" s="54"/>
      <c r="E651" s="55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53"/>
      <c r="C652" s="43"/>
      <c r="D652" s="54"/>
      <c r="E652" s="55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53"/>
      <c r="C653" s="43"/>
      <c r="D653" s="54"/>
      <c r="E653" s="55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53"/>
      <c r="C654" s="43"/>
      <c r="D654" s="54"/>
      <c r="E654" s="55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53"/>
      <c r="C655" s="43"/>
      <c r="D655" s="54"/>
      <c r="E655" s="55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53"/>
      <c r="C656" s="43"/>
      <c r="D656" s="54"/>
      <c r="E656" s="55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53"/>
      <c r="C657" s="43"/>
      <c r="D657" s="54"/>
      <c r="E657" s="55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53"/>
      <c r="C658" s="43"/>
      <c r="D658" s="54"/>
      <c r="E658" s="55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53"/>
      <c r="C659" s="43"/>
      <c r="D659" s="54"/>
      <c r="E659" s="55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53"/>
      <c r="C660" s="43"/>
      <c r="D660" s="54"/>
      <c r="E660" s="55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53"/>
      <c r="C661" s="43"/>
      <c r="D661" s="54"/>
      <c r="E661" s="55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53"/>
      <c r="C662" s="43"/>
      <c r="D662" s="54"/>
      <c r="E662" s="55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53"/>
      <c r="C663" s="43"/>
      <c r="D663" s="54"/>
      <c r="E663" s="55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53"/>
      <c r="C664" s="43"/>
      <c r="D664" s="54"/>
      <c r="E664" s="55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53"/>
      <c r="C665" s="43"/>
      <c r="D665" s="54"/>
      <c r="E665" s="55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53"/>
      <c r="C666" s="43"/>
      <c r="D666" s="54"/>
      <c r="E666" s="55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53"/>
      <c r="C667" s="43"/>
      <c r="D667" s="54"/>
      <c r="E667" s="55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53"/>
      <c r="C668" s="43"/>
      <c r="D668" s="54"/>
      <c r="E668" s="55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53"/>
      <c r="C669" s="43"/>
      <c r="D669" s="54"/>
      <c r="E669" s="55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53"/>
      <c r="C670" s="43"/>
      <c r="D670" s="54"/>
      <c r="E670" s="55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53"/>
      <c r="C671" s="43"/>
      <c r="D671" s="54"/>
      <c r="E671" s="55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53"/>
      <c r="C672" s="43"/>
      <c r="D672" s="54"/>
      <c r="E672" s="55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53"/>
      <c r="C673" s="43"/>
      <c r="D673" s="54"/>
      <c r="E673" s="55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53"/>
      <c r="C674" s="43"/>
      <c r="D674" s="54"/>
      <c r="E674" s="55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53"/>
      <c r="C675" s="43"/>
      <c r="D675" s="54"/>
      <c r="E675" s="55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53"/>
      <c r="C676" s="43"/>
      <c r="D676" s="54"/>
      <c r="E676" s="55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53"/>
      <c r="C677" s="43"/>
      <c r="D677" s="54"/>
      <c r="E677" s="55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53"/>
      <c r="C678" s="43"/>
      <c r="D678" s="54"/>
      <c r="E678" s="55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53"/>
      <c r="C679" s="43"/>
      <c r="D679" s="54"/>
      <c r="E679" s="55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53"/>
      <c r="C680" s="43"/>
      <c r="D680" s="54"/>
      <c r="E680" s="55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53"/>
      <c r="C681" s="43"/>
      <c r="D681" s="54"/>
      <c r="E681" s="55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53"/>
      <c r="C682" s="43"/>
      <c r="D682" s="54"/>
      <c r="E682" s="55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53"/>
      <c r="C683" s="43"/>
      <c r="D683" s="54"/>
      <c r="E683" s="55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53"/>
      <c r="C684" s="43"/>
      <c r="D684" s="54"/>
      <c r="E684" s="55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53"/>
      <c r="C685" s="43"/>
      <c r="D685" s="54"/>
      <c r="E685" s="55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53"/>
      <c r="C686" s="43"/>
      <c r="D686" s="54"/>
      <c r="E686" s="55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53"/>
      <c r="C687" s="43"/>
      <c r="D687" s="54"/>
      <c r="E687" s="55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53"/>
      <c r="C688" s="43"/>
      <c r="D688" s="54"/>
      <c r="E688" s="55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53"/>
      <c r="C689" s="43"/>
      <c r="D689" s="54"/>
      <c r="E689" s="55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53"/>
      <c r="C690" s="43"/>
      <c r="D690" s="54"/>
      <c r="E690" s="55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53"/>
      <c r="C691" s="43"/>
      <c r="D691" s="54"/>
      <c r="E691" s="55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53"/>
      <c r="C692" s="43"/>
      <c r="D692" s="54"/>
      <c r="E692" s="55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53"/>
      <c r="C693" s="43"/>
      <c r="D693" s="54"/>
      <c r="E693" s="55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53"/>
      <c r="C694" s="43"/>
      <c r="D694" s="54"/>
      <c r="E694" s="55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53"/>
      <c r="C695" s="43"/>
      <c r="D695" s="54"/>
      <c r="E695" s="55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53"/>
      <c r="C696" s="43"/>
      <c r="D696" s="54"/>
      <c r="E696" s="55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53"/>
      <c r="C697" s="43"/>
      <c r="D697" s="54"/>
      <c r="E697" s="55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53"/>
      <c r="C698" s="43"/>
      <c r="D698" s="54"/>
      <c r="E698" s="55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53"/>
      <c r="C699" s="43"/>
      <c r="D699" s="54"/>
      <c r="E699" s="55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53"/>
      <c r="C700" s="43"/>
      <c r="D700" s="54"/>
      <c r="E700" s="55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53"/>
      <c r="C701" s="43"/>
      <c r="D701" s="54"/>
      <c r="E701" s="55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53"/>
      <c r="C702" s="43"/>
      <c r="D702" s="54"/>
      <c r="E702" s="55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53"/>
      <c r="C703" s="43"/>
      <c r="D703" s="54"/>
      <c r="E703" s="55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53"/>
      <c r="C704" s="43"/>
      <c r="D704" s="54"/>
      <c r="E704" s="55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53"/>
      <c r="C705" s="43"/>
      <c r="D705" s="54"/>
      <c r="E705" s="55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53"/>
      <c r="C706" s="43"/>
      <c r="D706" s="54"/>
      <c r="E706" s="55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53"/>
      <c r="C707" s="43"/>
      <c r="D707" s="54"/>
      <c r="E707" s="55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53"/>
      <c r="C708" s="43"/>
      <c r="D708" s="54"/>
      <c r="E708" s="55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53"/>
      <c r="C709" s="43"/>
      <c r="D709" s="54"/>
      <c r="E709" s="55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53"/>
      <c r="C710" s="43"/>
      <c r="D710" s="54"/>
      <c r="E710" s="55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53"/>
      <c r="C711" s="43"/>
      <c r="D711" s="54"/>
      <c r="E711" s="55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53"/>
      <c r="C712" s="43"/>
      <c r="D712" s="54"/>
      <c r="E712" s="55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53"/>
      <c r="C713" s="43"/>
      <c r="D713" s="54"/>
      <c r="E713" s="55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53"/>
      <c r="C714" s="43"/>
      <c r="D714" s="54"/>
      <c r="E714" s="55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53"/>
      <c r="C715" s="43"/>
      <c r="D715" s="54"/>
      <c r="E715" s="55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53"/>
      <c r="C716" s="43"/>
      <c r="D716" s="54"/>
      <c r="E716" s="55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53"/>
      <c r="C717" s="43"/>
      <c r="D717" s="54"/>
      <c r="E717" s="55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53"/>
      <c r="C718" s="43"/>
      <c r="D718" s="54"/>
      <c r="E718" s="55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53"/>
      <c r="C719" s="43"/>
      <c r="D719" s="54"/>
      <c r="E719" s="55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53"/>
      <c r="C720" s="43"/>
      <c r="D720" s="54"/>
      <c r="E720" s="55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53"/>
      <c r="C721" s="43"/>
      <c r="D721" s="54"/>
      <c r="E721" s="55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53"/>
      <c r="C722" s="43"/>
      <c r="D722" s="54"/>
      <c r="E722" s="55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53"/>
      <c r="C723" s="43"/>
      <c r="D723" s="54"/>
      <c r="E723" s="55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53"/>
      <c r="C724" s="43"/>
      <c r="D724" s="54"/>
      <c r="E724" s="55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53"/>
      <c r="C725" s="43"/>
      <c r="D725" s="54"/>
      <c r="E725" s="55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53"/>
      <c r="C726" s="43"/>
      <c r="D726" s="54"/>
      <c r="E726" s="55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53"/>
      <c r="C727" s="43"/>
      <c r="D727" s="54"/>
      <c r="E727" s="55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53"/>
      <c r="C728" s="43"/>
      <c r="D728" s="54"/>
      <c r="E728" s="55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53"/>
      <c r="C729" s="43"/>
      <c r="D729" s="54"/>
      <c r="E729" s="55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53"/>
      <c r="C730" s="43"/>
      <c r="D730" s="54"/>
      <c r="E730" s="55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53"/>
      <c r="C731" s="43"/>
      <c r="D731" s="54"/>
      <c r="E731" s="55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53"/>
      <c r="C732" s="43"/>
      <c r="D732" s="54"/>
      <c r="E732" s="55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53"/>
      <c r="C733" s="43"/>
      <c r="D733" s="54"/>
      <c r="E733" s="55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53"/>
      <c r="C734" s="43"/>
      <c r="D734" s="54"/>
      <c r="E734" s="55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53"/>
      <c r="C735" s="43"/>
      <c r="D735" s="54"/>
      <c r="E735" s="55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53"/>
      <c r="C736" s="43"/>
      <c r="D736" s="54"/>
      <c r="E736" s="55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53"/>
      <c r="C737" s="43"/>
      <c r="D737" s="54"/>
      <c r="E737" s="55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53"/>
      <c r="C738" s="43"/>
      <c r="D738" s="54"/>
      <c r="E738" s="55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53"/>
      <c r="C739" s="43"/>
      <c r="D739" s="54"/>
      <c r="E739" s="55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53"/>
      <c r="C740" s="43"/>
      <c r="D740" s="54"/>
      <c r="E740" s="55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53"/>
      <c r="C741" s="43"/>
      <c r="D741" s="54"/>
      <c r="E741" s="55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53"/>
      <c r="C742" s="43"/>
      <c r="D742" s="54"/>
      <c r="E742" s="55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53"/>
      <c r="C743" s="43"/>
      <c r="D743" s="54"/>
      <c r="E743" s="55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53"/>
      <c r="C744" s="43"/>
      <c r="D744" s="54"/>
      <c r="E744" s="55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53"/>
      <c r="C745" s="43"/>
      <c r="D745" s="54"/>
      <c r="E745" s="55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53"/>
      <c r="C746" s="43"/>
      <c r="D746" s="54"/>
      <c r="E746" s="55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53"/>
      <c r="C747" s="43"/>
      <c r="D747" s="54"/>
      <c r="E747" s="55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53"/>
      <c r="C748" s="43"/>
      <c r="D748" s="54"/>
      <c r="E748" s="55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53"/>
      <c r="C749" s="43"/>
      <c r="D749" s="54"/>
      <c r="E749" s="55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53"/>
      <c r="C750" s="43"/>
      <c r="D750" s="54"/>
      <c r="E750" s="55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53"/>
      <c r="C751" s="43"/>
      <c r="D751" s="54"/>
      <c r="E751" s="55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53"/>
      <c r="C752" s="43"/>
      <c r="D752" s="54"/>
      <c r="E752" s="55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53"/>
      <c r="C753" s="43"/>
      <c r="D753" s="54"/>
      <c r="E753" s="55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53"/>
      <c r="C754" s="43"/>
      <c r="D754" s="54"/>
      <c r="E754" s="55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53"/>
      <c r="C755" s="43"/>
      <c r="D755" s="54"/>
      <c r="E755" s="55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53"/>
      <c r="C756" s="43"/>
      <c r="D756" s="54"/>
      <c r="E756" s="55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53"/>
      <c r="C757" s="43"/>
      <c r="D757" s="54"/>
      <c r="E757" s="55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53"/>
      <c r="C758" s="43"/>
      <c r="D758" s="54"/>
      <c r="E758" s="55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53"/>
      <c r="C759" s="43"/>
      <c r="D759" s="54"/>
      <c r="E759" s="55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53"/>
      <c r="C760" s="43"/>
      <c r="D760" s="54"/>
      <c r="E760" s="55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53"/>
      <c r="C761" s="43"/>
      <c r="D761" s="54"/>
      <c r="E761" s="55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53"/>
      <c r="C762" s="43"/>
      <c r="D762" s="54"/>
      <c r="E762" s="55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53"/>
      <c r="C763" s="43"/>
      <c r="D763" s="54"/>
      <c r="E763" s="55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53"/>
      <c r="C764" s="43"/>
      <c r="D764" s="54"/>
      <c r="E764" s="55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53"/>
      <c r="C765" s="43"/>
      <c r="D765" s="54"/>
      <c r="E765" s="55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53"/>
      <c r="C766" s="43"/>
      <c r="D766" s="54"/>
      <c r="E766" s="55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53"/>
      <c r="C767" s="43"/>
      <c r="D767" s="54"/>
      <c r="E767" s="55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53"/>
      <c r="C768" s="43"/>
      <c r="D768" s="54"/>
      <c r="E768" s="55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53"/>
      <c r="C769" s="43"/>
      <c r="D769" s="54"/>
      <c r="E769" s="55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53"/>
      <c r="C770" s="43"/>
      <c r="D770" s="54"/>
      <c r="E770" s="55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53"/>
      <c r="C771" s="43"/>
      <c r="D771" s="54"/>
      <c r="E771" s="55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53"/>
      <c r="C772" s="43"/>
      <c r="D772" s="54"/>
      <c r="E772" s="55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53"/>
      <c r="C773" s="43"/>
      <c r="D773" s="54"/>
      <c r="E773" s="55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53"/>
      <c r="C774" s="43"/>
      <c r="D774" s="54"/>
      <c r="E774" s="55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53"/>
      <c r="C775" s="43"/>
      <c r="D775" s="54"/>
      <c r="E775" s="55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53"/>
      <c r="C776" s="43"/>
      <c r="D776" s="54"/>
      <c r="E776" s="55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53"/>
      <c r="C777" s="43"/>
      <c r="D777" s="54"/>
      <c r="E777" s="55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53"/>
      <c r="C778" s="43"/>
      <c r="D778" s="54"/>
      <c r="E778" s="55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53"/>
      <c r="C779" s="43"/>
      <c r="D779" s="54"/>
      <c r="E779" s="55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53"/>
      <c r="C780" s="43"/>
      <c r="D780" s="54"/>
      <c r="E780" s="55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53"/>
      <c r="C781" s="43"/>
      <c r="D781" s="54"/>
      <c r="E781" s="55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53"/>
      <c r="C782" s="43"/>
      <c r="D782" s="54"/>
      <c r="E782" s="55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53"/>
      <c r="C783" s="43"/>
      <c r="D783" s="54"/>
      <c r="E783" s="55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53"/>
      <c r="C784" s="43"/>
      <c r="D784" s="54"/>
      <c r="E784" s="55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53"/>
      <c r="C785" s="43"/>
      <c r="D785" s="54"/>
      <c r="E785" s="55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53"/>
      <c r="C786" s="43"/>
      <c r="D786" s="54"/>
      <c r="E786" s="55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53"/>
      <c r="C787" s="43"/>
      <c r="D787" s="54"/>
      <c r="E787" s="55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53"/>
      <c r="C788" s="43"/>
      <c r="D788" s="54"/>
      <c r="E788" s="55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53"/>
      <c r="C789" s="43"/>
      <c r="D789" s="54"/>
      <c r="E789" s="55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53"/>
      <c r="C790" s="43"/>
      <c r="D790" s="54"/>
      <c r="E790" s="55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53"/>
      <c r="C791" s="43"/>
      <c r="D791" s="54"/>
      <c r="E791" s="55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53"/>
      <c r="C792" s="43"/>
      <c r="D792" s="54"/>
      <c r="E792" s="55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53"/>
      <c r="C793" s="43"/>
      <c r="D793" s="54"/>
      <c r="E793" s="55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53"/>
      <c r="C794" s="43"/>
      <c r="D794" s="54"/>
      <c r="E794" s="55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53"/>
      <c r="C795" s="43"/>
      <c r="D795" s="54"/>
      <c r="E795" s="55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53"/>
      <c r="C796" s="43"/>
      <c r="D796" s="54"/>
      <c r="E796" s="55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53"/>
      <c r="C797" s="43"/>
      <c r="D797" s="54"/>
      <c r="E797" s="55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53"/>
      <c r="C798" s="43"/>
      <c r="D798" s="54"/>
      <c r="E798" s="55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53"/>
      <c r="C799" s="43"/>
      <c r="D799" s="54"/>
      <c r="E799" s="55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53"/>
      <c r="C800" s="43"/>
      <c r="D800" s="54"/>
      <c r="E800" s="55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53"/>
      <c r="C801" s="43"/>
      <c r="D801" s="54"/>
      <c r="E801" s="55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53"/>
      <c r="C802" s="43"/>
      <c r="D802" s="54"/>
      <c r="E802" s="55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53"/>
      <c r="C803" s="43"/>
      <c r="D803" s="54"/>
      <c r="E803" s="55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53"/>
      <c r="C804" s="43"/>
      <c r="D804" s="54"/>
      <c r="E804" s="55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53"/>
      <c r="C805" s="43"/>
      <c r="D805" s="54"/>
      <c r="E805" s="55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53"/>
      <c r="C806" s="43"/>
      <c r="D806" s="54"/>
      <c r="E806" s="55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53"/>
      <c r="C807" s="43"/>
      <c r="D807" s="54"/>
      <c r="E807" s="55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53"/>
      <c r="C808" s="43"/>
      <c r="D808" s="54"/>
      <c r="E808" s="55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53"/>
      <c r="C809" s="43"/>
      <c r="D809" s="54"/>
      <c r="E809" s="55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53"/>
      <c r="C810" s="43"/>
      <c r="D810" s="54"/>
      <c r="E810" s="55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53"/>
      <c r="C811" s="43"/>
      <c r="D811" s="54"/>
      <c r="E811" s="55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53"/>
      <c r="C812" s="43"/>
      <c r="D812" s="54"/>
      <c r="E812" s="55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53"/>
      <c r="C813" s="43"/>
      <c r="D813" s="54"/>
      <c r="E813" s="55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53"/>
      <c r="C814" s="43"/>
      <c r="D814" s="54"/>
      <c r="E814" s="55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53"/>
      <c r="C815" s="43"/>
      <c r="D815" s="54"/>
      <c r="E815" s="55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53"/>
      <c r="C816" s="43"/>
      <c r="D816" s="54"/>
      <c r="E816" s="55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53"/>
      <c r="C817" s="43"/>
      <c r="D817" s="54"/>
      <c r="E817" s="55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53"/>
      <c r="C818" s="43"/>
      <c r="D818" s="54"/>
      <c r="E818" s="55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53"/>
      <c r="C819" s="43"/>
      <c r="D819" s="54"/>
      <c r="E819" s="55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53"/>
      <c r="C820" s="43"/>
      <c r="D820" s="54"/>
      <c r="E820" s="55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53"/>
      <c r="C821" s="43"/>
      <c r="D821" s="54"/>
      <c r="E821" s="55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53"/>
      <c r="C822" s="43"/>
      <c r="D822" s="54"/>
      <c r="E822" s="55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53"/>
      <c r="C823" s="43"/>
      <c r="D823" s="54"/>
      <c r="E823" s="55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53"/>
      <c r="C824" s="43"/>
      <c r="D824" s="54"/>
      <c r="E824" s="55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53"/>
      <c r="C825" s="43"/>
      <c r="D825" s="54"/>
      <c r="E825" s="55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53"/>
      <c r="C826" s="43"/>
      <c r="D826" s="54"/>
      <c r="E826" s="55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53"/>
      <c r="C827" s="43"/>
      <c r="D827" s="54"/>
      <c r="E827" s="55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53"/>
      <c r="C828" s="43"/>
      <c r="D828" s="54"/>
      <c r="E828" s="55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53"/>
      <c r="C829" s="43"/>
      <c r="D829" s="54"/>
      <c r="E829" s="55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53"/>
      <c r="C830" s="43"/>
      <c r="D830" s="54"/>
      <c r="E830" s="55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53"/>
      <c r="C831" s="43"/>
      <c r="D831" s="54"/>
      <c r="E831" s="55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53"/>
      <c r="C832" s="43"/>
      <c r="D832" s="54"/>
      <c r="E832" s="55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53"/>
      <c r="C833" s="43"/>
      <c r="D833" s="54"/>
      <c r="E833" s="55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53"/>
      <c r="C834" s="43"/>
      <c r="D834" s="54"/>
      <c r="E834" s="55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53"/>
      <c r="C835" s="43"/>
      <c r="D835" s="54"/>
      <c r="E835" s="55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53"/>
      <c r="C836" s="43"/>
      <c r="D836" s="54"/>
      <c r="E836" s="55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53"/>
      <c r="C837" s="43"/>
      <c r="D837" s="54"/>
      <c r="E837" s="55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53"/>
      <c r="C838" s="43"/>
      <c r="D838" s="54"/>
      <c r="E838" s="55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53"/>
      <c r="C839" s="43"/>
      <c r="D839" s="54"/>
      <c r="E839" s="55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53"/>
      <c r="C840" s="43"/>
      <c r="D840" s="54"/>
      <c r="E840" s="55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53"/>
      <c r="C841" s="43"/>
      <c r="D841" s="54"/>
      <c r="E841" s="55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53"/>
      <c r="C842" s="43"/>
      <c r="D842" s="54"/>
      <c r="E842" s="55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53"/>
      <c r="C843" s="43"/>
      <c r="D843" s="54"/>
      <c r="E843" s="55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53"/>
      <c r="C844" s="43"/>
      <c r="D844" s="54"/>
      <c r="E844" s="55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53"/>
      <c r="C845" s="43"/>
      <c r="D845" s="54"/>
      <c r="E845" s="55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53"/>
      <c r="C846" s="43"/>
      <c r="D846" s="54"/>
      <c r="E846" s="55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53"/>
      <c r="C847" s="43"/>
      <c r="D847" s="54"/>
      <c r="E847" s="55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53"/>
      <c r="C848" s="43"/>
      <c r="D848" s="54"/>
      <c r="E848" s="55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53"/>
      <c r="C849" s="43"/>
      <c r="D849" s="54"/>
      <c r="E849" s="55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53"/>
      <c r="C850" s="43"/>
      <c r="D850" s="54"/>
      <c r="E850" s="55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53"/>
      <c r="C851" s="43"/>
      <c r="D851" s="54"/>
      <c r="E851" s="55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53"/>
      <c r="C852" s="43"/>
      <c r="D852" s="54"/>
      <c r="E852" s="55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53"/>
      <c r="C853" s="43"/>
      <c r="D853" s="54"/>
      <c r="E853" s="55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53"/>
      <c r="C854" s="43"/>
      <c r="D854" s="54"/>
      <c r="E854" s="55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53"/>
      <c r="C855" s="43"/>
      <c r="D855" s="54"/>
      <c r="E855" s="55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53"/>
      <c r="C856" s="43"/>
      <c r="D856" s="54"/>
      <c r="E856" s="55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53"/>
      <c r="C857" s="43"/>
      <c r="D857" s="54"/>
      <c r="E857" s="55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53"/>
      <c r="C858" s="43"/>
      <c r="D858" s="54"/>
      <c r="E858" s="55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53"/>
      <c r="C859" s="43"/>
      <c r="D859" s="54"/>
      <c r="E859" s="55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53"/>
      <c r="C860" s="43"/>
      <c r="D860" s="54"/>
      <c r="E860" s="55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53"/>
      <c r="C861" s="43"/>
      <c r="D861" s="54"/>
      <c r="E861" s="55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53"/>
      <c r="C862" s="43"/>
      <c r="D862" s="54"/>
      <c r="E862" s="55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53"/>
      <c r="C863" s="43"/>
      <c r="D863" s="54"/>
      <c r="E863" s="55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53"/>
      <c r="C864" s="43"/>
      <c r="D864" s="54"/>
      <c r="E864" s="55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53"/>
      <c r="C865" s="43"/>
      <c r="D865" s="54"/>
      <c r="E865" s="55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53"/>
      <c r="C866" s="43"/>
      <c r="D866" s="54"/>
      <c r="E866" s="55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53"/>
      <c r="C867" s="43"/>
      <c r="D867" s="54"/>
      <c r="E867" s="55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53"/>
      <c r="C868" s="43"/>
      <c r="D868" s="54"/>
      <c r="E868" s="55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53"/>
      <c r="C869" s="43"/>
      <c r="D869" s="54"/>
      <c r="E869" s="55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53"/>
      <c r="C870" s="43"/>
      <c r="D870" s="54"/>
      <c r="E870" s="55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53"/>
      <c r="C871" s="43"/>
      <c r="D871" s="54"/>
      <c r="E871" s="55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53"/>
      <c r="C872" s="43"/>
      <c r="D872" s="54"/>
      <c r="E872" s="55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53"/>
      <c r="C873" s="43"/>
      <c r="D873" s="54"/>
      <c r="E873" s="55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53"/>
      <c r="C874" s="43"/>
      <c r="D874" s="54"/>
      <c r="E874" s="55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53"/>
      <c r="C875" s="43"/>
      <c r="D875" s="54"/>
      <c r="E875" s="55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53"/>
      <c r="C876" s="43"/>
      <c r="D876" s="54"/>
      <c r="E876" s="55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53"/>
      <c r="C877" s="43"/>
      <c r="D877" s="54"/>
      <c r="E877" s="55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53"/>
      <c r="C878" s="43"/>
      <c r="D878" s="54"/>
      <c r="E878" s="55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53"/>
      <c r="C879" s="43"/>
      <c r="D879" s="54"/>
      <c r="E879" s="55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53"/>
      <c r="C880" s="43"/>
      <c r="D880" s="54"/>
      <c r="E880" s="55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53"/>
      <c r="C881" s="43"/>
      <c r="D881" s="54"/>
      <c r="E881" s="55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53"/>
      <c r="C882" s="43"/>
      <c r="D882" s="54"/>
      <c r="E882" s="55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53"/>
      <c r="C883" s="43"/>
      <c r="D883" s="54"/>
      <c r="E883" s="55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53"/>
      <c r="C884" s="43"/>
      <c r="D884" s="54"/>
      <c r="E884" s="55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53"/>
      <c r="C885" s="43"/>
      <c r="D885" s="54"/>
      <c r="E885" s="55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53"/>
      <c r="C886" s="43"/>
      <c r="D886" s="54"/>
      <c r="E886" s="55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53"/>
      <c r="C887" s="43"/>
      <c r="D887" s="54"/>
      <c r="E887" s="55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53"/>
      <c r="C888" s="43"/>
      <c r="D888" s="54"/>
      <c r="E888" s="55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53"/>
      <c r="C889" s="43"/>
      <c r="D889" s="54"/>
      <c r="E889" s="55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53"/>
      <c r="C890" s="43"/>
      <c r="D890" s="54"/>
      <c r="E890" s="55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53"/>
      <c r="C891" s="43"/>
      <c r="D891" s="54"/>
      <c r="E891" s="55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53"/>
      <c r="C892" s="43"/>
      <c r="D892" s="54"/>
      <c r="E892" s="55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53"/>
      <c r="C893" s="43"/>
      <c r="D893" s="54"/>
      <c r="E893" s="55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53"/>
      <c r="C894" s="43"/>
      <c r="D894" s="54"/>
      <c r="E894" s="55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53"/>
      <c r="C895" s="43"/>
      <c r="D895" s="54"/>
      <c r="E895" s="55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53"/>
      <c r="C896" s="43"/>
      <c r="D896" s="54"/>
      <c r="E896" s="55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53"/>
      <c r="C897" s="43"/>
      <c r="D897" s="54"/>
      <c r="E897" s="55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53"/>
      <c r="C898" s="43"/>
      <c r="D898" s="54"/>
      <c r="E898" s="55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53"/>
      <c r="C899" s="43"/>
      <c r="D899" s="54"/>
      <c r="E899" s="55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53"/>
      <c r="C900" s="43"/>
      <c r="D900" s="54"/>
      <c r="E900" s="55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53"/>
      <c r="C901" s="43"/>
      <c r="D901" s="54"/>
      <c r="E901" s="55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53"/>
      <c r="C902" s="43"/>
      <c r="D902" s="54"/>
      <c r="E902" s="55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53"/>
      <c r="C903" s="43"/>
      <c r="D903" s="54"/>
      <c r="E903" s="55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53"/>
      <c r="C904" s="43"/>
      <c r="D904" s="54"/>
      <c r="E904" s="55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53"/>
      <c r="C905" s="43"/>
      <c r="D905" s="54"/>
      <c r="E905" s="55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53"/>
      <c r="C906" s="43"/>
      <c r="D906" s="54"/>
      <c r="E906" s="55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53"/>
      <c r="C907" s="43"/>
      <c r="D907" s="54"/>
      <c r="E907" s="55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53"/>
      <c r="C908" s="43"/>
      <c r="D908" s="54"/>
      <c r="E908" s="55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53"/>
      <c r="C909" s="43"/>
      <c r="D909" s="54"/>
      <c r="E909" s="55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53"/>
      <c r="C910" s="43"/>
      <c r="D910" s="54"/>
      <c r="E910" s="55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53"/>
      <c r="C911" s="43"/>
      <c r="D911" s="54"/>
      <c r="E911" s="55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53"/>
      <c r="C912" s="43"/>
      <c r="D912" s="54"/>
      <c r="E912" s="55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53"/>
      <c r="C913" s="43"/>
      <c r="D913" s="54"/>
      <c r="E913" s="55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53"/>
      <c r="C914" s="43"/>
      <c r="D914" s="54"/>
      <c r="E914" s="55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53"/>
      <c r="C915" s="43"/>
      <c r="D915" s="54"/>
      <c r="E915" s="55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53"/>
      <c r="C916" s="43"/>
      <c r="D916" s="54"/>
      <c r="E916" s="55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53"/>
      <c r="C917" s="43"/>
      <c r="D917" s="54"/>
      <c r="E917" s="55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53"/>
      <c r="C918" s="43"/>
      <c r="D918" s="54"/>
      <c r="E918" s="55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53"/>
      <c r="C919" s="43"/>
      <c r="D919" s="54"/>
      <c r="E919" s="55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53"/>
      <c r="C920" s="43"/>
      <c r="D920" s="54"/>
      <c r="E920" s="55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53"/>
      <c r="C921" s="43"/>
      <c r="D921" s="54"/>
      <c r="E921" s="55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53"/>
      <c r="C922" s="43"/>
      <c r="D922" s="54"/>
      <c r="E922" s="55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53"/>
      <c r="C923" s="43"/>
      <c r="D923" s="54"/>
      <c r="E923" s="55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53"/>
      <c r="C924" s="43"/>
      <c r="D924" s="54"/>
      <c r="E924" s="55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53"/>
      <c r="C925" s="43"/>
      <c r="D925" s="54"/>
      <c r="E925" s="55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53"/>
      <c r="C926" s="43"/>
      <c r="D926" s="54"/>
      <c r="E926" s="55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53"/>
      <c r="C927" s="43"/>
      <c r="D927" s="54"/>
      <c r="E927" s="55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53"/>
      <c r="C928" s="43"/>
      <c r="D928" s="54"/>
      <c r="E928" s="55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53"/>
      <c r="C929" s="43"/>
      <c r="D929" s="54"/>
      <c r="E929" s="55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53"/>
      <c r="C930" s="43"/>
      <c r="D930" s="54"/>
      <c r="E930" s="55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53"/>
      <c r="C931" s="43"/>
      <c r="D931" s="54"/>
      <c r="E931" s="55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53"/>
      <c r="C932" s="43"/>
      <c r="D932" s="54"/>
      <c r="E932" s="55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53"/>
      <c r="C933" s="43"/>
      <c r="D933" s="54"/>
      <c r="E933" s="55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53"/>
      <c r="C934" s="43"/>
      <c r="D934" s="54"/>
      <c r="E934" s="55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53"/>
      <c r="C935" s="43"/>
      <c r="D935" s="54"/>
      <c r="E935" s="55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53"/>
      <c r="C936" s="43"/>
      <c r="D936" s="54"/>
      <c r="E936" s="55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53"/>
      <c r="C937" s="43"/>
      <c r="D937" s="54"/>
      <c r="E937" s="55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53"/>
      <c r="C938" s="43"/>
      <c r="D938" s="54"/>
      <c r="E938" s="55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53"/>
      <c r="C939" s="43"/>
      <c r="D939" s="54"/>
      <c r="E939" s="55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53"/>
      <c r="C940" s="43"/>
      <c r="D940" s="54"/>
      <c r="E940" s="55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53"/>
      <c r="C941" s="43"/>
      <c r="D941" s="54"/>
      <c r="E941" s="55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53"/>
      <c r="C942" s="43"/>
      <c r="D942" s="54"/>
      <c r="E942" s="55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53"/>
      <c r="C943" s="43"/>
      <c r="D943" s="54"/>
      <c r="E943" s="55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53"/>
      <c r="C944" s="43"/>
      <c r="D944" s="54"/>
      <c r="E944" s="55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53"/>
      <c r="C945" s="43"/>
      <c r="D945" s="54"/>
      <c r="E945" s="55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53"/>
      <c r="C946" s="43"/>
      <c r="D946" s="54"/>
      <c r="E946" s="55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53"/>
      <c r="C947" s="43"/>
      <c r="D947" s="54"/>
      <c r="E947" s="55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53"/>
      <c r="C948" s="43"/>
      <c r="D948" s="54"/>
      <c r="E948" s="55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53"/>
      <c r="C949" s="43"/>
      <c r="D949" s="54"/>
      <c r="E949" s="55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53"/>
      <c r="C950" s="43"/>
      <c r="D950" s="54"/>
      <c r="E950" s="55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53"/>
      <c r="C951" s="43"/>
      <c r="D951" s="54"/>
      <c r="E951" s="55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53"/>
      <c r="C952" s="43"/>
      <c r="D952" s="54"/>
      <c r="E952" s="55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53"/>
      <c r="C953" s="43"/>
      <c r="D953" s="54"/>
      <c r="E953" s="55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53"/>
      <c r="C954" s="43"/>
      <c r="D954" s="54"/>
      <c r="E954" s="55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53"/>
      <c r="C955" s="43"/>
      <c r="D955" s="54"/>
      <c r="E955" s="55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53"/>
      <c r="C956" s="43"/>
      <c r="D956" s="54"/>
      <c r="E956" s="55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53"/>
      <c r="C957" s="43"/>
      <c r="D957" s="54"/>
      <c r="E957" s="55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53"/>
      <c r="C958" s="43"/>
      <c r="D958" s="54"/>
      <c r="E958" s="55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53"/>
      <c r="C959" s="43"/>
      <c r="D959" s="54"/>
      <c r="E959" s="55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53"/>
      <c r="C960" s="43"/>
      <c r="D960" s="54"/>
      <c r="E960" s="55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53"/>
      <c r="C961" s="43"/>
      <c r="D961" s="54"/>
      <c r="E961" s="55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</sheetData>
  <mergeCells count="52">
    <mergeCell ref="G34:G36"/>
    <mergeCell ref="G37:G39"/>
    <mergeCell ref="G40:G42"/>
    <mergeCell ref="G24:G26"/>
    <mergeCell ref="H24:H26"/>
    <mergeCell ref="G27:G29"/>
    <mergeCell ref="H27:H29"/>
    <mergeCell ref="G31:G33"/>
    <mergeCell ref="H31:H33"/>
    <mergeCell ref="H34:H36"/>
    <mergeCell ref="G2:G4"/>
    <mergeCell ref="H2:H4"/>
    <mergeCell ref="J2:J4"/>
    <mergeCell ref="Q2:Q4"/>
    <mergeCell ref="H5:H7"/>
    <mergeCell ref="J5:J7"/>
    <mergeCell ref="Q5:Q7"/>
    <mergeCell ref="G5:G7"/>
    <mergeCell ref="G8:G10"/>
    <mergeCell ref="H8:H10"/>
    <mergeCell ref="J8:J10"/>
    <mergeCell ref="G11:G13"/>
    <mergeCell ref="H11:H13"/>
    <mergeCell ref="J11:J13"/>
    <mergeCell ref="J18:J20"/>
    <mergeCell ref="J21:J23"/>
    <mergeCell ref="J24:J26"/>
    <mergeCell ref="J27:J29"/>
    <mergeCell ref="J31:J33"/>
    <mergeCell ref="J34:J36"/>
    <mergeCell ref="J37:J39"/>
    <mergeCell ref="J40:J42"/>
    <mergeCell ref="G14:G16"/>
    <mergeCell ref="H14:H16"/>
    <mergeCell ref="J14:J16"/>
    <mergeCell ref="G18:G20"/>
    <mergeCell ref="H18:H20"/>
    <mergeCell ref="G21:G23"/>
    <mergeCell ref="H21:H23"/>
    <mergeCell ref="Q31:Q33"/>
    <mergeCell ref="Q34:Q36"/>
    <mergeCell ref="Q37:Q39"/>
    <mergeCell ref="Q40:Q42"/>
    <mergeCell ref="Q8:Q10"/>
    <mergeCell ref="Q11:Q13"/>
    <mergeCell ref="Q14:Q16"/>
    <mergeCell ref="Q18:Q20"/>
    <mergeCell ref="Q21:Q23"/>
    <mergeCell ref="Q24:Q26"/>
    <mergeCell ref="Q27:Q29"/>
    <mergeCell ref="H37:H39"/>
    <mergeCell ref="H40:H42"/>
  </mergeCells>
  <drawing r:id="rId1"/>
</worksheet>
</file>